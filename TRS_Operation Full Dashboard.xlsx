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ohamed/Library/Mobile Documents/com~apple~CloudDocs/"/>
    </mc:Choice>
  </mc:AlternateContent>
  <xr:revisionPtr revIDLastSave="0" documentId="13_ncr:1_{072511C7-2EB5-7D4B-84ED-3B97E1FC01E6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📋 Daily Log" sheetId="1" r:id="rId1"/>
    <sheet name="📊 KPI Summary" sheetId="3" r:id="rId2"/>
    <sheet name="📊 Daily Dashboard" sheetId="4" r:id="rId3"/>
    <sheet name="Pivot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H26" i="3" a="1"/>
  <c r="H26" i="3" s="1"/>
  <c r="G26" i="3" a="1"/>
  <c r="G26" i="3" s="1"/>
  <c r="F26" i="3" a="1"/>
  <c r="F26" i="3" s="1"/>
  <c r="E26" i="3" a="1"/>
  <c r="E26" i="3" s="1"/>
  <c r="D26" i="3" a="1"/>
  <c r="D26" i="3" s="1"/>
  <c r="C26" i="3" a="1"/>
  <c r="C26" i="3" s="1"/>
  <c r="B26" i="3" a="1"/>
  <c r="B26" i="3" s="1"/>
  <c r="H24" i="3" a="1"/>
  <c r="H24" i="3" s="1"/>
  <c r="G24" i="3" a="1"/>
  <c r="G24" i="3" s="1"/>
  <c r="F24" i="3" a="1"/>
  <c r="F24" i="3" s="1"/>
  <c r="E24" i="3" a="1"/>
  <c r="E24" i="3" s="1"/>
  <c r="D24" i="3" a="1"/>
  <c r="D24" i="3" s="1"/>
  <c r="C24" i="3" a="1"/>
  <c r="C24" i="3" s="1"/>
  <c r="B24" i="3" a="1"/>
  <c r="B24" i="3" s="1"/>
  <c r="H25" i="3" a="1"/>
  <c r="H25" i="3" s="1"/>
  <c r="G25" i="3" a="1"/>
  <c r="G25" i="3" s="1"/>
  <c r="F25" i="3" a="1"/>
  <c r="F25" i="3" s="1"/>
  <c r="E25" i="3" a="1"/>
  <c r="E25" i="3" s="1"/>
  <c r="D25" i="3" a="1"/>
  <c r="D25" i="3" s="1"/>
  <c r="C25" i="3" a="1"/>
  <c r="C25" i="3" s="1"/>
  <c r="B25" i="3" a="1"/>
  <c r="B25" i="3" s="1"/>
  <c r="H28" i="3" a="1"/>
  <c r="H28" i="3" s="1"/>
  <c r="G28" i="3" a="1"/>
  <c r="G28" i="3" s="1"/>
  <c r="F28" i="3" a="1"/>
  <c r="F28" i="3" s="1"/>
  <c r="E28" i="3" a="1"/>
  <c r="E28" i="3" s="1"/>
  <c r="D28" i="3" a="1"/>
  <c r="D28" i="3" s="1"/>
  <c r="C28" i="3" a="1"/>
  <c r="C28" i="3" s="1"/>
  <c r="B28" i="3" a="1"/>
  <c r="B28" i="3" s="1"/>
  <c r="H27" i="3" a="1"/>
  <c r="H27" i="3" s="1"/>
  <c r="G27" i="3" a="1"/>
  <c r="G27" i="3" s="1"/>
  <c r="F27" i="3" a="1"/>
  <c r="F27" i="3" s="1"/>
  <c r="E27" i="3" a="1"/>
  <c r="E27" i="3" s="1"/>
  <c r="D27" i="3" a="1"/>
  <c r="D27" i="3" s="1"/>
  <c r="C27" i="3" a="1"/>
  <c r="C27" i="3" s="1"/>
  <c r="B27" i="3" a="1"/>
  <c r="B27" i="3" s="1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H14" i="4"/>
  <c r="G14" i="4"/>
  <c r="F14" i="4"/>
  <c r="E14" i="4"/>
  <c r="D14" i="4"/>
  <c r="C14" i="4"/>
  <c r="B14" i="4"/>
  <c r="A14" i="4"/>
  <c r="A9" i="4"/>
  <c r="H8" i="4"/>
  <c r="A4" i="4"/>
  <c r="B53" i="3"/>
  <c r="C53" i="3" s="1"/>
  <c r="C52" i="3"/>
  <c r="B52" i="3"/>
  <c r="B51" i="3"/>
  <c r="C51" i="3" s="1"/>
  <c r="C50" i="3"/>
  <c r="B50" i="3"/>
  <c r="B49" i="3"/>
  <c r="C49" i="3" s="1"/>
  <c r="H45" i="3"/>
  <c r="G45" i="3"/>
  <c r="F45" i="3"/>
  <c r="E45" i="3"/>
  <c r="D45" i="3"/>
  <c r="C45" i="3"/>
  <c r="B45" i="3"/>
  <c r="H44" i="3"/>
  <c r="G44" i="3"/>
  <c r="F44" i="3"/>
  <c r="E44" i="3"/>
  <c r="D44" i="3"/>
  <c r="C44" i="3"/>
  <c r="B44" i="3"/>
  <c r="H43" i="3"/>
  <c r="G43" i="3"/>
  <c r="F43" i="3"/>
  <c r="E43" i="3"/>
  <c r="D43" i="3"/>
  <c r="C43" i="3"/>
  <c r="B43" i="3"/>
  <c r="H42" i="3"/>
  <c r="G42" i="3"/>
  <c r="F42" i="3"/>
  <c r="E42" i="3"/>
  <c r="D42" i="3"/>
  <c r="C42" i="3"/>
  <c r="B42" i="3"/>
  <c r="H41" i="3"/>
  <c r="G41" i="3"/>
  <c r="F41" i="3"/>
  <c r="E41" i="3"/>
  <c r="D41" i="3"/>
  <c r="C41" i="3"/>
  <c r="B41" i="3"/>
  <c r="H37" i="3"/>
  <c r="G37" i="3"/>
  <c r="F37" i="3"/>
  <c r="E37" i="3"/>
  <c r="D37" i="3"/>
  <c r="C37" i="3"/>
  <c r="B37" i="3"/>
  <c r="H36" i="3"/>
  <c r="G36" i="3"/>
  <c r="F36" i="3"/>
  <c r="E36" i="3"/>
  <c r="D36" i="3"/>
  <c r="C36" i="3"/>
  <c r="B36" i="3"/>
  <c r="H35" i="3"/>
  <c r="G35" i="3"/>
  <c r="F35" i="3"/>
  <c r="E35" i="3"/>
  <c r="D35" i="3"/>
  <c r="C35" i="3"/>
  <c r="B35" i="3"/>
  <c r="H34" i="3"/>
  <c r="G34" i="3"/>
  <c r="F34" i="3"/>
  <c r="E34" i="3"/>
  <c r="D34" i="3"/>
  <c r="C34" i="3"/>
  <c r="B34" i="3"/>
  <c r="H33" i="3"/>
  <c r="G33" i="3"/>
  <c r="F33" i="3"/>
  <c r="E33" i="3"/>
  <c r="D33" i="3"/>
  <c r="C33" i="3"/>
  <c r="B33" i="3"/>
  <c r="H32" i="3"/>
  <c r="G32" i="3"/>
  <c r="F32" i="3"/>
  <c r="E32" i="3"/>
  <c r="D32" i="3"/>
  <c r="C32" i="3"/>
  <c r="B32" i="3"/>
  <c r="M19" i="3"/>
  <c r="I19" i="3"/>
  <c r="A19" i="3"/>
  <c r="M18" i="3"/>
  <c r="I18" i="3"/>
  <c r="E18" i="3"/>
  <c r="A18" i="3"/>
  <c r="I13" i="3"/>
  <c r="E13" i="3"/>
  <c r="M12" i="3"/>
  <c r="I12" i="3"/>
  <c r="E12" i="3"/>
  <c r="A12" i="3"/>
  <c r="I7" i="3"/>
  <c r="E7" i="3"/>
  <c r="M6" i="3"/>
  <c r="I6" i="3"/>
  <c r="E6" i="3"/>
  <c r="A6" i="3"/>
  <c r="G31" i="2"/>
  <c r="H46" i="4" s="1"/>
  <c r="D31" i="2"/>
  <c r="F8" i="4" s="1"/>
  <c r="C31" i="2"/>
  <c r="D8" i="4" s="1"/>
  <c r="B31" i="2"/>
  <c r="E31" i="2" s="1"/>
  <c r="E46" i="4" s="1"/>
  <c r="G30" i="2"/>
  <c r="H45" i="4" s="1"/>
  <c r="D30" i="2"/>
  <c r="D45" i="4" s="1"/>
  <c r="C30" i="2"/>
  <c r="C45" i="4" s="1"/>
  <c r="B30" i="2"/>
  <c r="B45" i="4" s="1"/>
  <c r="G29" i="2"/>
  <c r="H44" i="4" s="1"/>
  <c r="D29" i="2"/>
  <c r="D44" i="4" s="1"/>
  <c r="C29" i="2"/>
  <c r="C44" i="4" s="1"/>
  <c r="B29" i="2"/>
  <c r="E29" i="2" s="1"/>
  <c r="E44" i="4" s="1"/>
  <c r="G28" i="2"/>
  <c r="H43" i="4" s="1"/>
  <c r="D28" i="2"/>
  <c r="D43" i="4" s="1"/>
  <c r="C28" i="2"/>
  <c r="C43" i="4" s="1"/>
  <c r="B28" i="2"/>
  <c r="B43" i="4" s="1"/>
  <c r="G27" i="2"/>
  <c r="H42" i="4" s="1"/>
  <c r="D27" i="2"/>
  <c r="D42" i="4" s="1"/>
  <c r="C27" i="2"/>
  <c r="C42" i="4" s="1"/>
  <c r="B27" i="2"/>
  <c r="E27" i="2" s="1"/>
  <c r="E42" i="4" s="1"/>
  <c r="G26" i="2"/>
  <c r="H41" i="4" s="1"/>
  <c r="D26" i="2"/>
  <c r="D41" i="4" s="1"/>
  <c r="C26" i="2"/>
  <c r="C41" i="4" s="1"/>
  <c r="B26" i="2"/>
  <c r="B41" i="4" s="1"/>
  <c r="G25" i="2"/>
  <c r="H40" i="4" s="1"/>
  <c r="D25" i="2"/>
  <c r="D40" i="4" s="1"/>
  <c r="C25" i="2"/>
  <c r="C40" i="4" s="1"/>
  <c r="B25" i="2"/>
  <c r="E25" i="2" s="1"/>
  <c r="E40" i="4" s="1"/>
  <c r="G24" i="2"/>
  <c r="H39" i="4" s="1"/>
  <c r="D24" i="2"/>
  <c r="D39" i="4" s="1"/>
  <c r="C24" i="2"/>
  <c r="C39" i="4" s="1"/>
  <c r="B24" i="2"/>
  <c r="B39" i="4" s="1"/>
  <c r="G23" i="2"/>
  <c r="H38" i="4" s="1"/>
  <c r="D23" i="2"/>
  <c r="D38" i="4" s="1"/>
  <c r="C23" i="2"/>
  <c r="C38" i="4" s="1"/>
  <c r="B23" i="2"/>
  <c r="E23" i="2" s="1"/>
  <c r="E38" i="4" s="1"/>
  <c r="G22" i="2"/>
  <c r="H37" i="4" s="1"/>
  <c r="D22" i="2"/>
  <c r="D37" i="4" s="1"/>
  <c r="C22" i="2"/>
  <c r="C37" i="4" s="1"/>
  <c r="B22" i="2"/>
  <c r="B37" i="4" s="1"/>
  <c r="G21" i="2"/>
  <c r="H36" i="4" s="1"/>
  <c r="D21" i="2"/>
  <c r="D36" i="4" s="1"/>
  <c r="C21" i="2"/>
  <c r="C36" i="4" s="1"/>
  <c r="B21" i="2"/>
  <c r="E21" i="2" s="1"/>
  <c r="E36" i="4" s="1"/>
  <c r="G20" i="2"/>
  <c r="H35" i="4" s="1"/>
  <c r="D20" i="2"/>
  <c r="D35" i="4" s="1"/>
  <c r="C20" i="2"/>
  <c r="C35" i="4" s="1"/>
  <c r="B20" i="2"/>
  <c r="B35" i="4" s="1"/>
  <c r="G19" i="2"/>
  <c r="H34" i="4" s="1"/>
  <c r="D19" i="2"/>
  <c r="D34" i="4" s="1"/>
  <c r="C19" i="2"/>
  <c r="C34" i="4" s="1"/>
  <c r="B19" i="2"/>
  <c r="E19" i="2" s="1"/>
  <c r="E34" i="4" s="1"/>
  <c r="G18" i="2"/>
  <c r="H33" i="4" s="1"/>
  <c r="D18" i="2"/>
  <c r="D33" i="4" s="1"/>
  <c r="C18" i="2"/>
  <c r="C33" i="4" s="1"/>
  <c r="B18" i="2"/>
  <c r="B33" i="4" s="1"/>
  <c r="G17" i="2"/>
  <c r="H32" i="4" s="1"/>
  <c r="D17" i="2"/>
  <c r="D32" i="4" s="1"/>
  <c r="C17" i="2"/>
  <c r="C32" i="4" s="1"/>
  <c r="B17" i="2"/>
  <c r="E17" i="2" s="1"/>
  <c r="E32" i="4" s="1"/>
  <c r="G16" i="2"/>
  <c r="H31" i="4" s="1"/>
  <c r="D16" i="2"/>
  <c r="D31" i="4" s="1"/>
  <c r="C16" i="2"/>
  <c r="C31" i="4" s="1"/>
  <c r="B16" i="2"/>
  <c r="B31" i="4" s="1"/>
  <c r="G15" i="2"/>
  <c r="H30" i="4" s="1"/>
  <c r="D15" i="2"/>
  <c r="D30" i="4" s="1"/>
  <c r="C15" i="2"/>
  <c r="C30" i="4" s="1"/>
  <c r="B15" i="2"/>
  <c r="E15" i="2" s="1"/>
  <c r="E30" i="4" s="1"/>
  <c r="G14" i="2"/>
  <c r="H29" i="4" s="1"/>
  <c r="D14" i="2"/>
  <c r="D29" i="4" s="1"/>
  <c r="C14" i="2"/>
  <c r="C29" i="4" s="1"/>
  <c r="B14" i="2"/>
  <c r="B29" i="4" s="1"/>
  <c r="G13" i="2"/>
  <c r="H28" i="4" s="1"/>
  <c r="D13" i="2"/>
  <c r="D28" i="4" s="1"/>
  <c r="C13" i="2"/>
  <c r="C28" i="4" s="1"/>
  <c r="B13" i="2"/>
  <c r="B28" i="4" s="1"/>
  <c r="G12" i="2"/>
  <c r="H27" i="4" s="1"/>
  <c r="D12" i="2"/>
  <c r="D27" i="4" s="1"/>
  <c r="C12" i="2"/>
  <c r="E12" i="2" s="1"/>
  <c r="E27" i="4" s="1"/>
  <c r="B12" i="2"/>
  <c r="B27" i="4" s="1"/>
  <c r="G11" i="2"/>
  <c r="H26" i="4" s="1"/>
  <c r="D11" i="2"/>
  <c r="D26" i="4" s="1"/>
  <c r="C11" i="2"/>
  <c r="C26" i="4" s="1"/>
  <c r="B11" i="2"/>
  <c r="E11" i="2" s="1"/>
  <c r="E26" i="4" s="1"/>
  <c r="G10" i="2"/>
  <c r="H25" i="4" s="1"/>
  <c r="D10" i="2"/>
  <c r="D25" i="4" s="1"/>
  <c r="C10" i="2"/>
  <c r="C25" i="4" s="1"/>
  <c r="B10" i="2"/>
  <c r="B25" i="4" s="1"/>
  <c r="G9" i="2"/>
  <c r="H24" i="4" s="1"/>
  <c r="D9" i="2"/>
  <c r="D24" i="4" s="1"/>
  <c r="C9" i="2"/>
  <c r="C24" i="4" s="1"/>
  <c r="B9" i="2"/>
  <c r="E9" i="2" s="1"/>
  <c r="E24" i="4" s="1"/>
  <c r="G8" i="2"/>
  <c r="H23" i="4" s="1"/>
  <c r="D8" i="2"/>
  <c r="D23" i="4" s="1"/>
  <c r="C8" i="2"/>
  <c r="B8" i="2"/>
  <c r="B23" i="4" s="1"/>
  <c r="G7" i="2"/>
  <c r="H22" i="4" s="1"/>
  <c r="D7" i="2"/>
  <c r="D22" i="4" s="1"/>
  <c r="C7" i="2"/>
  <c r="C22" i="4" s="1"/>
  <c r="B7" i="2"/>
  <c r="E7" i="2" s="1"/>
  <c r="E22" i="4" s="1"/>
  <c r="G6" i="2"/>
  <c r="H21" i="4" s="1"/>
  <c r="E6" i="2"/>
  <c r="E21" i="4" s="1"/>
  <c r="D6" i="2"/>
  <c r="D21" i="4" s="1"/>
  <c r="C6" i="2"/>
  <c r="C21" i="4" s="1"/>
  <c r="B6" i="2"/>
  <c r="B21" i="4" s="1"/>
  <c r="G5" i="2"/>
  <c r="H20" i="4" s="1"/>
  <c r="D5" i="2"/>
  <c r="D20" i="4" s="1"/>
  <c r="C5" i="2"/>
  <c r="C20" i="4" s="1"/>
  <c r="B5" i="2"/>
  <c r="E5" i="2" s="1"/>
  <c r="E20" i="4" s="1"/>
  <c r="G4" i="2"/>
  <c r="H19" i="4" s="1"/>
  <c r="D4" i="2"/>
  <c r="D19" i="4" s="1"/>
  <c r="C4" i="2"/>
  <c r="C19" i="4" s="1"/>
  <c r="B4" i="2"/>
  <c r="B19" i="4" s="1"/>
  <c r="G3" i="2"/>
  <c r="H18" i="4" s="1"/>
  <c r="D3" i="2"/>
  <c r="D18" i="4" s="1"/>
  <c r="C3" i="2"/>
  <c r="C18" i="4" s="1"/>
  <c r="B3" i="2"/>
  <c r="E8" i="2" l="1"/>
  <c r="E23" i="4" s="1"/>
  <c r="E10" i="2"/>
  <c r="E25" i="4" s="1"/>
  <c r="F30" i="2"/>
  <c r="F45" i="4" s="1"/>
  <c r="E14" i="2"/>
  <c r="E29" i="4" s="1"/>
  <c r="E18" i="2"/>
  <c r="E33" i="4" s="1"/>
  <c r="E22" i="2"/>
  <c r="E37" i="4" s="1"/>
  <c r="F3" i="2"/>
  <c r="F18" i="4" s="1"/>
  <c r="E26" i="2"/>
  <c r="E41" i="4" s="1"/>
  <c r="E30" i="2"/>
  <c r="E45" i="4" s="1"/>
  <c r="D53" i="3"/>
  <c r="D50" i="3"/>
  <c r="D52" i="3"/>
  <c r="D49" i="3"/>
  <c r="D51" i="3"/>
  <c r="F7" i="2"/>
  <c r="F22" i="4" s="1"/>
  <c r="E13" i="2"/>
  <c r="E28" i="4" s="1"/>
  <c r="F13" i="2"/>
  <c r="F28" i="4" s="1"/>
  <c r="F21" i="2"/>
  <c r="F36" i="4" s="1"/>
  <c r="F25" i="2"/>
  <c r="F40" i="4" s="1"/>
  <c r="F29" i="2"/>
  <c r="F44" i="4" s="1"/>
  <c r="E16" i="2"/>
  <c r="E31" i="4" s="1"/>
  <c r="E24" i="2"/>
  <c r="E39" i="4" s="1"/>
  <c r="B18" i="4"/>
  <c r="B20" i="4"/>
  <c r="B22" i="4"/>
  <c r="B24" i="4"/>
  <c r="B26" i="4"/>
  <c r="B30" i="4"/>
  <c r="B32" i="4"/>
  <c r="B34" i="4"/>
  <c r="B36" i="4"/>
  <c r="B38" i="4"/>
  <c r="B40" i="4"/>
  <c r="B42" i="4"/>
  <c r="B44" i="4"/>
  <c r="B46" i="4"/>
  <c r="F5" i="2"/>
  <c r="F20" i="4" s="1"/>
  <c r="F17" i="2"/>
  <c r="F32" i="4" s="1"/>
  <c r="E4" i="2"/>
  <c r="E19" i="4" s="1"/>
  <c r="E20" i="2"/>
  <c r="E35" i="4" s="1"/>
  <c r="E28" i="2"/>
  <c r="E43" i="4" s="1"/>
  <c r="F4" i="2"/>
  <c r="F19" i="4" s="1"/>
  <c r="F8" i="2"/>
  <c r="F23" i="4" s="1"/>
  <c r="F12" i="2"/>
  <c r="F27" i="4" s="1"/>
  <c r="F16" i="2"/>
  <c r="F31" i="4" s="1"/>
  <c r="F20" i="2"/>
  <c r="F35" i="4" s="1"/>
  <c r="F24" i="2"/>
  <c r="F39" i="4" s="1"/>
  <c r="F28" i="2"/>
  <c r="F43" i="4" s="1"/>
  <c r="A8" i="4"/>
  <c r="C23" i="4"/>
  <c r="C27" i="4"/>
  <c r="C46" i="4"/>
  <c r="F9" i="2"/>
  <c r="F24" i="4" s="1"/>
  <c r="E3" i="2"/>
  <c r="E18" i="4" s="1"/>
  <c r="D46" i="4"/>
  <c r="F15" i="2"/>
  <c r="F30" i="4" s="1"/>
  <c r="F19" i="2"/>
  <c r="F34" i="4" s="1"/>
  <c r="F23" i="2"/>
  <c r="F38" i="4" s="1"/>
  <c r="F27" i="2"/>
  <c r="F42" i="4" s="1"/>
  <c r="F31" i="2"/>
  <c r="F46" i="4" s="1"/>
  <c r="F11" i="2"/>
  <c r="F26" i="4" s="1"/>
  <c r="F6" i="2"/>
  <c r="F21" i="4" s="1"/>
  <c r="F10" i="2"/>
  <c r="F25" i="4" s="1"/>
  <c r="F14" i="2"/>
  <c r="F29" i="4" s="1"/>
  <c r="F18" i="2"/>
  <c r="F33" i="4" s="1"/>
  <c r="F22" i="2"/>
  <c r="F37" i="4" s="1"/>
  <c r="F26" i="2"/>
  <c r="F41" i="4" s="1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F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<sst xmlns="http://schemas.openxmlformats.org/spreadsheetml/2006/main" count="534" uniqueCount="161">
  <si>
    <t xml:space="preserve">  📋   TRS DAILY OPERATIONS LOG  —  2026</t>
  </si>
  <si>
    <t xml:space="preserve">  Tubular Running Services  ·  Eastern Province, KSA  ·  ⬇ Enter new jobs below — dashboards auto-update</t>
  </si>
  <si>
    <t>#</t>
  </si>
  <si>
    <t>Date</t>
  </si>
  <si>
    <t>Customer</t>
  </si>
  <si>
    <t>Rig ID</t>
  </si>
  <si>
    <t>Well No.</t>
  </si>
  <si>
    <t>Service Type</t>
  </si>
  <si>
    <t>Tool Type</t>
  </si>
  <si>
    <t>Size (in)</t>
  </si>
  <si>
    <t>Revenue (USD)</t>
  </si>
  <si>
    <t>Job Hrs</t>
  </si>
  <si>
    <t>Joints</t>
  </si>
  <si>
    <t>Jts / Hr</t>
  </si>
  <si>
    <t>NPT Hrs</t>
  </si>
  <si>
    <t>NPT Category</t>
  </si>
  <si>
    <t>Status</t>
  </si>
  <si>
    <t>Notes</t>
  </si>
  <si>
    <t>RIG-04</t>
  </si>
  <si>
    <t>W-132</t>
  </si>
  <si>
    <t>Casing</t>
  </si>
  <si>
    <t>PULD Tool</t>
  </si>
  <si>
    <t>Equipment</t>
  </si>
  <si>
    <t>FINISHED</t>
  </si>
  <si>
    <t>W-325</t>
  </si>
  <si>
    <t>CDS System</t>
  </si>
  <si>
    <t>RIG-02</t>
  </si>
  <si>
    <t>W-320</t>
  </si>
  <si>
    <t>Combo</t>
  </si>
  <si>
    <t>RIG-06</t>
  </si>
  <si>
    <t>W-570</t>
  </si>
  <si>
    <t>Manual Tong</t>
  </si>
  <si>
    <t>W-171</t>
  </si>
  <si>
    <t>Process</t>
  </si>
  <si>
    <t>W-479</t>
  </si>
  <si>
    <t>CDS</t>
  </si>
  <si>
    <t>Power Tong</t>
  </si>
  <si>
    <t>W-376</t>
  </si>
  <si>
    <t>OPEN</t>
  </si>
  <si>
    <t>RIG-01</t>
  </si>
  <si>
    <t>W-316</t>
  </si>
  <si>
    <t>Tubing</t>
  </si>
  <si>
    <t>W-862</t>
  </si>
  <si>
    <t>RIG-05</t>
  </si>
  <si>
    <t>W-605</t>
  </si>
  <si>
    <t>W-490</t>
  </si>
  <si>
    <t>W-448</t>
  </si>
  <si>
    <t>W-208</t>
  </si>
  <si>
    <t>W-431</t>
  </si>
  <si>
    <t>Running Tool</t>
  </si>
  <si>
    <t>W-884</t>
  </si>
  <si>
    <t>Client/3rd</t>
  </si>
  <si>
    <t>W-419</t>
  </si>
  <si>
    <t>W-335</t>
  </si>
  <si>
    <t>PULD</t>
  </si>
  <si>
    <t>RIG-03</t>
  </si>
  <si>
    <t>W-172</t>
  </si>
  <si>
    <t>W-294</t>
  </si>
  <si>
    <t>Personnel</t>
  </si>
  <si>
    <t>W-845</t>
  </si>
  <si>
    <t>W-355</t>
  </si>
  <si>
    <t>W-270</t>
  </si>
  <si>
    <t>W-902</t>
  </si>
  <si>
    <t>W-693</t>
  </si>
  <si>
    <t>W-971</t>
  </si>
  <si>
    <t>W-692</t>
  </si>
  <si>
    <t>W-371</t>
  </si>
  <si>
    <t>W-202</t>
  </si>
  <si>
    <t>W-548</t>
  </si>
  <si>
    <t>Weather</t>
  </si>
  <si>
    <t>W-209</t>
  </si>
  <si>
    <t>W-600</t>
  </si>
  <si>
    <t>W-368</t>
  </si>
  <si>
    <t>W-696</t>
  </si>
  <si>
    <t>W-125</t>
  </si>
  <si>
    <t>W-327</t>
  </si>
  <si>
    <t>W-891</t>
  </si>
  <si>
    <t>W-211</t>
  </si>
  <si>
    <t>W-360</t>
  </si>
  <si>
    <t>W-438</t>
  </si>
  <si>
    <t>W-230</t>
  </si>
  <si>
    <t>W-540</t>
  </si>
  <si>
    <t>W-627</t>
  </si>
  <si>
    <t>W-350</t>
  </si>
  <si>
    <t>W-509</t>
  </si>
  <si>
    <t>W-950</t>
  </si>
  <si>
    <t>W-344</t>
  </si>
  <si>
    <t>W-810</t>
  </si>
  <si>
    <t>W-498</t>
  </si>
  <si>
    <t>W-852</t>
  </si>
  <si>
    <t>W-795</t>
  </si>
  <si>
    <t>W-538</t>
  </si>
  <si>
    <t>W-870</t>
  </si>
  <si>
    <t>W-353</t>
  </si>
  <si>
    <t>W-816</t>
  </si>
  <si>
    <t>W-126</t>
  </si>
  <si>
    <t>W-449</t>
  </si>
  <si>
    <t>W-851</t>
  </si>
  <si>
    <t>W-561</t>
  </si>
  <si>
    <t>W-599</t>
  </si>
  <si>
    <t>W-347</t>
  </si>
  <si>
    <t xml:space="preserve">  PIVOT — Auto Daily Aggregation (source for all dashboards)</t>
  </si>
  <si>
    <t>Daily Revenue</t>
  </si>
  <si>
    <t>Jobs</t>
  </si>
  <si>
    <t>Avg Rev/Job</t>
  </si>
  <si>
    <t>Cumul. Revenue</t>
  </si>
  <si>
    <t>Daily NPT%</t>
  </si>
  <si>
    <t xml:space="preserve">  🔧   TRS OPERATIONS  —  KPI SUMMARY DASHBOARD</t>
  </si>
  <si>
    <t xml:space="preserve">  💰  TOTAL REVENUE</t>
  </si>
  <si>
    <t xml:space="preserve">  📋  TOTAL JOBS</t>
  </si>
  <si>
    <t xml:space="preserve">  ⏱  OVERALL NPT %</t>
  </si>
  <si>
    <t xml:space="preserve">  📈  AVG REVENUE / JOB</t>
  </si>
  <si>
    <t>"USD  ·  Month to Date"</t>
  </si>
  <si>
    <t>"USD per completed job"</t>
  </si>
  <si>
    <t xml:space="preserve">  ⚡  REVENUE / HOUR</t>
  </si>
  <si>
    <t xml:space="preserve">  ✅  COMPLETION RATE</t>
  </si>
  <si>
    <t xml:space="preserve">  🔩  JOINTS / HOUR</t>
  </si>
  <si>
    <t xml:space="preserve">  📦  TOTAL JOINTS RUN</t>
  </si>
  <si>
    <t>"USD per operational hour"</t>
  </si>
  <si>
    <t>"All jobs this period"</t>
  </si>
  <si>
    <t xml:space="preserve">  📊  AVG JOINTS / JOB</t>
  </si>
  <si>
    <t xml:space="preserve">  ⏳  AVG HOURS / JOB</t>
  </si>
  <si>
    <t xml:space="preserve">  🏭  JOBS / HOUR</t>
  </si>
  <si>
    <t xml:space="preserve">  ⚠️  NPT INCIDENT RATE</t>
  </si>
  <si>
    <t>"Average duration per job"</t>
  </si>
  <si>
    <t xml:space="preserve">  👤   PERFORMANCE BY CUSTOMER</t>
  </si>
  <si>
    <t>Name</t>
  </si>
  <si>
    <t>Revenue</t>
  </si>
  <si>
    <t>Avg/Job</t>
  </si>
  <si>
    <t>Jts/Hr</t>
  </si>
  <si>
    <t>NPT%</t>
  </si>
  <si>
    <t xml:space="preserve">  🛢   PERFORMANCE BY RIG</t>
  </si>
  <si>
    <t xml:space="preserve">  🔧   PERFORMANCE BY SERVICE TYPE</t>
  </si>
  <si>
    <t xml:space="preserve">  ⚠️   NPT HOURS BY ROOT CAUSE</t>
  </si>
  <si>
    <t>Total Hrs</t>
  </si>
  <si>
    <t>% of NPT</t>
  </si>
  <si>
    <t>Cumulative %</t>
  </si>
  <si>
    <t xml:space="preserve">  📊   TRS DAILY OPERATIONS DASHBOARD</t>
  </si>
  <si>
    <t xml:space="preserve">  💰  LATEST DAY REVENUE</t>
  </si>
  <si>
    <t xml:space="preserve">  📋  TODAY JOBS</t>
  </si>
  <si>
    <t xml:space="preserve">  ⏱  TODAY NPT HRS</t>
  </si>
  <si>
    <t xml:space="preserve">  💰  MTD REVENUE</t>
  </si>
  <si>
    <t>"Jobs on latest day"</t>
  </si>
  <si>
    <t>"Month to Date"</t>
  </si>
  <si>
    <t xml:space="preserve">  📊  MONTH-TO-DATE SUMMARY</t>
  </si>
  <si>
    <t>Total Revenue</t>
  </si>
  <si>
    <t>Total Jobs</t>
  </si>
  <si>
    <t>NPT %</t>
  </si>
  <si>
    <t>Total Joints</t>
  </si>
  <si>
    <t>Completion%</t>
  </si>
  <si>
    <t>Avg Hrs/Job</t>
  </si>
  <si>
    <t xml:space="preserve">  📋  DAILY PERFORMANCE TABLE</t>
  </si>
  <si>
    <t>Cumul. Rev</t>
  </si>
  <si>
    <t>CONFIDENTIAL  ·  FOR MANAGEMENT USE ONLY  ·  TRS Daily Dashboard  ·  Source: 📋 Daily Log</t>
  </si>
  <si>
    <t>A</t>
  </si>
  <si>
    <t>B</t>
  </si>
  <si>
    <t>C</t>
  </si>
  <si>
    <t>D</t>
  </si>
  <si>
    <t>E</t>
  </si>
  <si>
    <t>FOR MANAGEMENT USE ONLY  ·  TRS KPI Summary  ·  Source: 📋 Daily Log  ·  All values auto-calculated</t>
  </si>
  <si>
    <t xml:space="preserve">  Tubular Running Services   ·  🔄 Auto-calculated from Daily Log  ·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</si>
</sst>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&quot;$&quot;#,##0"/>
    <numFmt numFmtId="167" formatCode="0.0"/>
    <numFmt numFmtId="168" formatCode="0.0%"/>
    <numFmt numFmtId="169" formatCode="0.0&quot; hrs&quot;"/>
    <numFmt numFmtId="170" formatCode="0.000"/>
    <numFmt numFmtId="173" formatCode="yyyy\-mm\-dd;@"/>
  </numFmts>
  <fonts count="21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9"/>
      <color rgb="FFBBDEFB"/>
      <name val="Calibri"/>
      <family val="2"/>
    </font>
    <font>
      <sz val="10"/>
      <color rgb="FF0A2342"/>
      <name val="Calibri"/>
      <family val="2"/>
    </font>
    <font>
      <b/>
      <sz val="9"/>
      <color rgb="FFFFFFFF"/>
      <name val="Calibri"/>
      <family val="2"/>
    </font>
    <font>
      <b/>
      <sz val="9"/>
      <color rgb="FF1565C0"/>
      <name val="Calibri"/>
      <family val="2"/>
    </font>
    <font>
      <sz val="9"/>
      <color rgb="FF0A2342"/>
      <name val="Calibri"/>
      <family val="2"/>
    </font>
    <font>
      <b/>
      <sz val="9"/>
      <color rgb="FF0A2342"/>
      <name val="Calibri"/>
      <family val="2"/>
    </font>
    <font>
      <b/>
      <sz val="9"/>
      <color rgb="FF1B5E20"/>
      <name val="Calibri"/>
      <family val="2"/>
    </font>
    <font>
      <i/>
      <sz val="9"/>
      <color rgb="FF78909C"/>
      <name val="Calibri"/>
      <family val="2"/>
    </font>
    <font>
      <b/>
      <sz val="9"/>
      <color rgb="FFE65100"/>
      <name val="Calibri"/>
      <family val="2"/>
    </font>
    <font>
      <b/>
      <sz val="11"/>
      <color rgb="FFFFFFFF"/>
      <name val="Calibri"/>
      <family val="2"/>
    </font>
    <font>
      <b/>
      <sz val="9"/>
      <color rgb="FF455A64"/>
      <name val="Calibri"/>
      <family val="2"/>
    </font>
    <font>
      <b/>
      <sz val="22"/>
      <color rgb="FF0A2342"/>
      <name val="Calibri"/>
      <family val="2"/>
    </font>
    <font>
      <i/>
      <sz val="8"/>
      <color rgb="FF78909C"/>
      <name val="Calibri"/>
      <family val="2"/>
    </font>
    <font>
      <b/>
      <sz val="22"/>
      <color rgb="FFB71C1C"/>
      <name val="Calibri"/>
      <family val="2"/>
    </font>
    <font>
      <b/>
      <sz val="22"/>
      <color rgb="FF1B5E20"/>
      <name val="Calibri"/>
      <family val="2"/>
    </font>
    <font>
      <b/>
      <sz val="10"/>
      <color rgb="FFFFFFFF"/>
      <name val="Calibri"/>
      <family val="2"/>
    </font>
    <font>
      <b/>
      <sz val="20"/>
      <color rgb="FF0A2342"/>
      <name val="Calibri"/>
      <family val="2"/>
    </font>
    <font>
      <b/>
      <sz val="20"/>
      <color rgb="FFB71C1C"/>
      <name val="Calibri"/>
      <family val="2"/>
    </font>
    <font>
      <b/>
      <sz val="11"/>
      <color rgb="FF0A234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A2342"/>
      </patternFill>
    </fill>
    <fill>
      <patternFill patternType="solid">
        <fgColor rgb="FF1565C0"/>
      </patternFill>
    </fill>
    <fill>
      <patternFill patternType="solid">
        <fgColor rgb="FFBBDEFB"/>
      </patternFill>
    </fill>
    <fill>
      <patternFill patternType="solid">
        <fgColor rgb="FF1976D2"/>
      </patternFill>
    </fill>
    <fill>
      <patternFill patternType="solid">
        <fgColor rgb="FFE3F2FD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4F6F8"/>
      </patternFill>
    </fill>
    <fill>
      <patternFill patternType="solid">
        <fgColor rgb="FFFFF3E0"/>
      </patternFill>
    </fill>
    <fill>
      <patternFill patternType="solid">
        <fgColor rgb="FFDDE3EA"/>
      </patternFill>
    </fill>
    <fill>
      <patternFill patternType="solid">
        <fgColor rgb="FFB71C1C"/>
      </patternFill>
    </fill>
    <fill>
      <patternFill patternType="solid">
        <fgColor rgb="FF1B5E20"/>
      </patternFill>
    </fill>
  </fills>
  <borders count="9">
    <border>
      <left/>
      <right/>
      <top/>
      <bottom/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medium">
        <color rgb="FF1565C0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  <border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  <diagonal/>
    </border>
    <border>
      <left style="thick">
        <color rgb="FF1565C0"/>
      </left>
      <right style="thin">
        <color rgb="FFDDE3EA"/>
      </right>
      <top style="thin">
        <color rgb="FFDDE3EA"/>
      </top>
      <bottom style="thin">
        <color rgb="FFDDE3EA"/>
      </bottom>
      <diagonal/>
    </border>
    <border>
      <left style="thick">
        <color rgb="FFB71C1C"/>
      </left>
      <right style="thin">
        <color rgb="FFDDE3EA"/>
      </right>
      <top style="thin">
        <color rgb="FFDDE3EA"/>
      </top>
      <bottom style="thin">
        <color rgb="FFDDE3EA"/>
      </bottom>
      <diagonal/>
    </border>
    <border>
      <left style="thick">
        <color rgb="FF1B5E20"/>
      </left>
      <right style="thin">
        <color rgb="FFDDE3EA"/>
      </right>
      <top style="thin">
        <color rgb="FFDDE3EA"/>
      </top>
      <bottom style="thin">
        <color rgb="FFDDE3EA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medium">
        <color rgb="FFBBDEFB"/>
      </bottom>
      <diagonal/>
    </border>
    <border>
      <left style="thick">
        <color rgb="FFF57F17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166" fontId="7" fillId="7" borderId="2" xfId="0" applyNumberFormat="1" applyFont="1" applyFill="1" applyBorder="1" applyAlignment="1">
      <alignment horizontal="right" vertical="center"/>
    </xf>
    <xf numFmtId="167" fontId="6" fillId="7" borderId="2" xfId="0" applyNumberFormat="1" applyFont="1" applyFill="1" applyBorder="1" applyAlignment="1">
      <alignment horizontal="center" vertical="center"/>
    </xf>
    <xf numFmtId="2" fontId="6" fillId="7" borderId="2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166" fontId="7" fillId="9" borderId="2" xfId="0" applyNumberFormat="1" applyFont="1" applyFill="1" applyBorder="1" applyAlignment="1">
      <alignment horizontal="right" vertical="center"/>
    </xf>
    <xf numFmtId="167" fontId="6" fillId="9" borderId="2" xfId="0" applyNumberFormat="1" applyFont="1" applyFill="1" applyBorder="1" applyAlignment="1">
      <alignment horizontal="center" vertical="center"/>
    </xf>
    <xf numFmtId="2" fontId="6" fillId="9" borderId="2" xfId="0" applyNumberFormat="1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left" vertical="center" indent="1"/>
    </xf>
    <xf numFmtId="0" fontId="10" fillId="10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3" fontId="6" fillId="9" borderId="2" xfId="0" applyNumberFormat="1" applyFont="1" applyFill="1" applyBorder="1" applyAlignment="1">
      <alignment horizontal="center" vertical="center"/>
    </xf>
    <xf numFmtId="166" fontId="6" fillId="9" borderId="2" xfId="0" applyNumberFormat="1" applyFont="1" applyFill="1" applyBorder="1" applyAlignment="1">
      <alignment horizontal="right" vertical="center"/>
    </xf>
    <xf numFmtId="168" fontId="6" fillId="9" borderId="2" xfId="0" applyNumberFormat="1" applyFont="1" applyFill="1" applyBorder="1" applyAlignment="1">
      <alignment horizontal="center" vertical="center"/>
    </xf>
    <xf numFmtId="3" fontId="6" fillId="7" borderId="2" xfId="0" applyNumberFormat="1" applyFont="1" applyFill="1" applyBorder="1" applyAlignment="1">
      <alignment horizontal="center" vertical="center"/>
    </xf>
    <xf numFmtId="166" fontId="6" fillId="7" borderId="2" xfId="0" applyNumberFormat="1" applyFont="1" applyFill="1" applyBorder="1" applyAlignment="1">
      <alignment horizontal="right" vertical="center"/>
    </xf>
    <xf numFmtId="168" fontId="6" fillId="7" borderId="2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12" borderId="0" xfId="0" applyFill="1"/>
    <xf numFmtId="0" fontId="0" fillId="11" borderId="0" xfId="0" applyFill="1"/>
    <xf numFmtId="0" fontId="0" fillId="13" borderId="0" xfId="0" applyFill="1"/>
    <xf numFmtId="0" fontId="4" fillId="5" borderId="7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 indent="1"/>
    </xf>
    <xf numFmtId="0" fontId="7" fillId="6" borderId="4" xfId="0" applyFont="1" applyFill="1" applyBorder="1" applyAlignment="1">
      <alignment horizontal="left" vertical="center" indent="1"/>
    </xf>
    <xf numFmtId="3" fontId="6" fillId="6" borderId="2" xfId="0" applyNumberFormat="1" applyFont="1" applyFill="1" applyBorder="1" applyAlignment="1">
      <alignment horizontal="center" vertical="center"/>
    </xf>
    <xf numFmtId="166" fontId="6" fillId="6" borderId="2" xfId="0" applyNumberFormat="1" applyFont="1" applyFill="1" applyBorder="1" applyAlignment="1">
      <alignment horizontal="right" vertical="center"/>
    </xf>
    <xf numFmtId="167" fontId="6" fillId="6" borderId="2" xfId="0" applyNumberFormat="1" applyFont="1" applyFill="1" applyBorder="1" applyAlignment="1">
      <alignment horizontal="center" vertical="center"/>
    </xf>
    <xf numFmtId="168" fontId="6" fillId="6" borderId="2" xfId="0" applyNumberFormat="1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left" vertical="center" indent="1"/>
    </xf>
    <xf numFmtId="0" fontId="7" fillId="6" borderId="8" xfId="0" applyFont="1" applyFill="1" applyBorder="1" applyAlignment="1">
      <alignment horizontal="left" vertical="center" indent="1"/>
    </xf>
    <xf numFmtId="166" fontId="20" fillId="6" borderId="4" xfId="0" applyNumberFormat="1" applyFont="1" applyFill="1" applyBorder="1" applyAlignment="1">
      <alignment horizontal="center" vertical="center"/>
    </xf>
    <xf numFmtId="3" fontId="20" fillId="6" borderId="4" xfId="0" applyNumberFormat="1" applyFont="1" applyFill="1" applyBorder="1" applyAlignment="1">
      <alignment horizontal="center" vertical="center"/>
    </xf>
    <xf numFmtId="168" fontId="20" fillId="6" borderId="4" xfId="0" applyNumberFormat="1" applyFont="1" applyFill="1" applyBorder="1" applyAlignment="1">
      <alignment horizontal="center" vertical="center"/>
    </xf>
    <xf numFmtId="2" fontId="20" fillId="6" borderId="4" xfId="0" applyNumberFormat="1" applyFont="1" applyFill="1" applyBorder="1" applyAlignment="1">
      <alignment horizontal="center" vertical="center"/>
    </xf>
    <xf numFmtId="169" fontId="20" fillId="6" borderId="4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12" fillId="9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169" fontId="13" fillId="7" borderId="4" xfId="0" applyNumberFormat="1" applyFont="1" applyFill="1" applyBorder="1" applyAlignment="1">
      <alignment horizontal="center" vertical="center"/>
    </xf>
    <xf numFmtId="168" fontId="16" fillId="7" borderId="6" xfId="0" applyNumberFormat="1" applyFont="1" applyFill="1" applyBorder="1" applyAlignment="1">
      <alignment horizontal="center" vertical="center"/>
    </xf>
    <xf numFmtId="168" fontId="15" fillId="7" borderId="5" xfId="0" applyNumberFormat="1" applyFont="1" applyFill="1" applyBorder="1" applyAlignment="1">
      <alignment horizontal="center" vertical="center"/>
    </xf>
    <xf numFmtId="166" fontId="13" fillId="7" borderId="4" xfId="0" applyNumberFormat="1" applyFont="1" applyFill="1" applyBorder="1" applyAlignment="1">
      <alignment horizontal="center" vertical="center"/>
    </xf>
    <xf numFmtId="1" fontId="13" fillId="7" borderId="4" xfId="0" applyNumberFormat="1" applyFont="1" applyFill="1" applyBorder="1" applyAlignment="1">
      <alignment horizontal="center" vertical="center"/>
    </xf>
    <xf numFmtId="170" fontId="13" fillId="7" borderId="4" xfId="0" applyNumberFormat="1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3" fontId="13" fillId="7" borderId="4" xfId="0" applyNumberFormat="1" applyFont="1" applyFill="1" applyBorder="1" applyAlignment="1">
      <alignment horizontal="center" vertical="center"/>
    </xf>
    <xf numFmtId="3" fontId="18" fillId="7" borderId="4" xfId="0" applyNumberFormat="1" applyFont="1" applyFill="1" applyBorder="1" applyAlignment="1">
      <alignment horizontal="center" vertical="center"/>
    </xf>
    <xf numFmtId="166" fontId="18" fillId="7" borderId="4" xfId="0" applyNumberFormat="1" applyFont="1" applyFill="1" applyBorder="1" applyAlignment="1">
      <alignment horizontal="center" vertical="center"/>
    </xf>
    <xf numFmtId="169" fontId="19" fillId="7" borderId="5" xfId="0" applyNumberFormat="1" applyFont="1" applyFill="1" applyBorder="1" applyAlignment="1">
      <alignment horizontal="center" vertical="center"/>
    </xf>
    <xf numFmtId="12" fontId="6" fillId="7" borderId="2" xfId="0" applyNumberFormat="1" applyFont="1" applyFill="1" applyBorder="1" applyAlignment="1">
      <alignment horizontal="center" vertical="center"/>
    </xf>
    <xf numFmtId="12" fontId="6" fillId="9" borderId="2" xfId="0" applyNumberFormat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14" fontId="6" fillId="7" borderId="2" xfId="0" applyNumberFormat="1" applyFont="1" applyFill="1" applyBorder="1" applyAlignment="1">
      <alignment horizontal="center" vertical="center"/>
    </xf>
    <xf numFmtId="14" fontId="6" fillId="9" borderId="2" xfId="0" applyNumberFormat="1" applyFont="1" applyFill="1" applyBorder="1" applyAlignment="1">
      <alignment horizontal="center" vertical="center"/>
    </xf>
    <xf numFmtId="14" fontId="0" fillId="0" borderId="0" xfId="0" applyNumberFormat="1"/>
    <xf numFmtId="14" fontId="4" fillId="5" borderId="3" xfId="0" applyNumberFormat="1" applyFont="1" applyFill="1" applyBorder="1" applyAlignment="1">
      <alignment horizontal="center" vertical="center"/>
    </xf>
    <xf numFmtId="14" fontId="5" fillId="4" borderId="2" xfId="0" applyNumberFormat="1" applyFont="1" applyFill="1" applyBorder="1" applyAlignment="1">
      <alignment horizontal="center" vertical="center"/>
    </xf>
    <xf numFmtId="14" fontId="5" fillId="6" borderId="2" xfId="0" applyNumberFormat="1" applyFont="1" applyFill="1" applyBorder="1" applyAlignment="1">
      <alignment horizontal="center" vertical="center"/>
    </xf>
    <xf numFmtId="14" fontId="2" fillId="3" borderId="0" xfId="0" applyNumberFormat="1" applyFont="1" applyFill="1" applyAlignment="1">
      <alignment horizontal="left" vertical="center"/>
    </xf>
    <xf numFmtId="14" fontId="0" fillId="0" borderId="0" xfId="0" applyNumberFormat="1"/>
    <xf numFmtId="173" fontId="17" fillId="3" borderId="0" xfId="0" applyNumberFormat="1" applyFont="1" applyFill="1" applyAlignment="1">
      <alignment horizontal="left" vertical="center"/>
    </xf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A1:P67"/>
  <sheetViews>
    <sheetView showGridLines="0" workbookViewId="0">
      <pane xSplit="2" ySplit="4" topLeftCell="C19" activePane="bottomRight" state="frozen"/>
      <selection pane="topRight"/>
      <selection pane="bottomLeft"/>
      <selection pane="bottomRight" sqref="A1:P1"/>
    </sheetView>
  </sheetViews>
  <sheetFormatPr baseColWidth="10" defaultColWidth="8.83203125" defaultRowHeight="15" x14ac:dyDescent="0.2"/>
  <cols>
    <col min="1" max="1" width="7.1640625" customWidth="1"/>
    <col min="2" max="2" width="14" style="65" customWidth="1"/>
    <col min="3" max="3" width="16" customWidth="1"/>
    <col min="4" max="5" width="10" customWidth="1"/>
    <col min="6" max="7" width="14" customWidth="1"/>
    <col min="8" max="8" width="9" customWidth="1"/>
    <col min="9" max="9" width="16" customWidth="1"/>
    <col min="10" max="12" width="9" customWidth="1"/>
    <col min="13" max="13" width="10" customWidth="1"/>
    <col min="14" max="14" width="14" customWidth="1"/>
    <col min="15" max="15" width="11" customWidth="1"/>
    <col min="16" max="16" width="24" customWidth="1"/>
  </cols>
  <sheetData>
    <row r="1" spans="1:16" ht="40" customHeight="1" x14ac:dyDescent="0.2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ht="18" customHeight="1" x14ac:dyDescent="0.2">
      <c r="A2" s="44" t="s">
        <v>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16" ht="6" customHeight="1" x14ac:dyDescent="0.2">
      <c r="A3" s="43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ht="22" customHeight="1" x14ac:dyDescent="0.2">
      <c r="A4" s="1" t="s">
        <v>2</v>
      </c>
      <c r="B4" s="62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</row>
    <row r="5" spans="1:16" ht="17" customHeight="1" x14ac:dyDescent="0.2">
      <c r="A5" s="2">
        <v>1</v>
      </c>
      <c r="B5" s="63">
        <v>46113</v>
      </c>
      <c r="C5" s="3" t="s">
        <v>154</v>
      </c>
      <c r="D5" s="3" t="s">
        <v>18</v>
      </c>
      <c r="E5" s="3" t="s">
        <v>19</v>
      </c>
      <c r="F5" s="3" t="s">
        <v>20</v>
      </c>
      <c r="G5" s="3" t="s">
        <v>21</v>
      </c>
      <c r="H5" s="60">
        <v>5.5</v>
      </c>
      <c r="I5" s="4">
        <v>5679</v>
      </c>
      <c r="J5" s="5">
        <v>18.7</v>
      </c>
      <c r="K5" s="5">
        <v>170</v>
      </c>
      <c r="L5" s="6">
        <v>11.26</v>
      </c>
      <c r="M5" s="5">
        <v>3.6</v>
      </c>
      <c r="N5" s="3" t="s">
        <v>22</v>
      </c>
      <c r="O5" s="7" t="s">
        <v>23</v>
      </c>
      <c r="P5" s="8"/>
    </row>
    <row r="6" spans="1:16" ht="17" customHeight="1" x14ac:dyDescent="0.2">
      <c r="A6" s="9">
        <v>2</v>
      </c>
      <c r="B6" s="64">
        <v>46113</v>
      </c>
      <c r="C6" s="10" t="s">
        <v>154</v>
      </c>
      <c r="D6" s="10" t="s">
        <v>18</v>
      </c>
      <c r="E6" s="10" t="s">
        <v>24</v>
      </c>
      <c r="F6" s="10" t="s">
        <v>20</v>
      </c>
      <c r="G6" s="10" t="s">
        <v>25</v>
      </c>
      <c r="H6" s="61">
        <v>5.5</v>
      </c>
      <c r="I6" s="11">
        <v>9064</v>
      </c>
      <c r="J6" s="12">
        <v>4.5</v>
      </c>
      <c r="K6" s="12">
        <v>46</v>
      </c>
      <c r="L6" s="13">
        <v>10.220000000000001</v>
      </c>
      <c r="M6" s="12">
        <v>0</v>
      </c>
      <c r="N6" s="10"/>
      <c r="O6" s="7" t="s">
        <v>23</v>
      </c>
      <c r="P6" s="14"/>
    </row>
    <row r="7" spans="1:16" ht="17" customHeight="1" x14ac:dyDescent="0.2">
      <c r="A7" s="2">
        <v>3</v>
      </c>
      <c r="B7" s="63">
        <v>46113</v>
      </c>
      <c r="C7" s="3" t="s">
        <v>156</v>
      </c>
      <c r="D7" s="3" t="s">
        <v>26</v>
      </c>
      <c r="E7" s="3" t="s">
        <v>27</v>
      </c>
      <c r="F7" s="3" t="s">
        <v>28</v>
      </c>
      <c r="G7" s="3" t="s">
        <v>21</v>
      </c>
      <c r="H7" s="60">
        <v>4.5</v>
      </c>
      <c r="I7" s="4">
        <v>12106</v>
      </c>
      <c r="J7" s="5">
        <v>7.2</v>
      </c>
      <c r="K7" s="5">
        <v>90</v>
      </c>
      <c r="L7" s="6">
        <v>12.5</v>
      </c>
      <c r="M7" s="5">
        <v>0</v>
      </c>
      <c r="N7" s="3"/>
      <c r="O7" s="7" t="s">
        <v>23</v>
      </c>
      <c r="P7" s="8"/>
    </row>
    <row r="8" spans="1:16" ht="17" customHeight="1" x14ac:dyDescent="0.2">
      <c r="A8" s="9">
        <v>4</v>
      </c>
      <c r="B8" s="64">
        <v>46114</v>
      </c>
      <c r="C8" s="10" t="s">
        <v>154</v>
      </c>
      <c r="D8" s="10" t="s">
        <v>29</v>
      </c>
      <c r="E8" s="10" t="s">
        <v>30</v>
      </c>
      <c r="F8" s="10" t="s">
        <v>20</v>
      </c>
      <c r="G8" s="10" t="s">
        <v>31</v>
      </c>
      <c r="H8" s="61">
        <v>4.5</v>
      </c>
      <c r="I8" s="11">
        <v>7308</v>
      </c>
      <c r="J8" s="12">
        <v>10.9</v>
      </c>
      <c r="K8" s="12">
        <v>135</v>
      </c>
      <c r="L8" s="13">
        <v>12.39</v>
      </c>
      <c r="M8" s="12">
        <v>0</v>
      </c>
      <c r="N8" s="10"/>
      <c r="O8" s="7" t="s">
        <v>23</v>
      </c>
      <c r="P8" s="14"/>
    </row>
    <row r="9" spans="1:16" ht="17" customHeight="1" x14ac:dyDescent="0.2">
      <c r="A9" s="2">
        <v>5</v>
      </c>
      <c r="B9" s="63">
        <v>46114</v>
      </c>
      <c r="C9" s="3" t="s">
        <v>157</v>
      </c>
      <c r="D9" s="3" t="s">
        <v>29</v>
      </c>
      <c r="E9" s="3" t="s">
        <v>32</v>
      </c>
      <c r="F9" s="3" t="s">
        <v>20</v>
      </c>
      <c r="G9" s="3" t="s">
        <v>31</v>
      </c>
      <c r="H9" s="60">
        <v>4.5</v>
      </c>
      <c r="I9" s="4">
        <v>9624</v>
      </c>
      <c r="J9" s="5">
        <v>20.6</v>
      </c>
      <c r="K9" s="5">
        <v>232</v>
      </c>
      <c r="L9" s="6">
        <v>13.49</v>
      </c>
      <c r="M9" s="5">
        <v>3.4</v>
      </c>
      <c r="N9" s="3" t="s">
        <v>33</v>
      </c>
      <c r="O9" s="7" t="s">
        <v>23</v>
      </c>
      <c r="P9" s="8"/>
    </row>
    <row r="10" spans="1:16" ht="17" customHeight="1" x14ac:dyDescent="0.2">
      <c r="A10" s="9">
        <v>6</v>
      </c>
      <c r="B10" s="64">
        <v>46115</v>
      </c>
      <c r="C10" s="10" t="s">
        <v>155</v>
      </c>
      <c r="D10" s="10" t="s">
        <v>26</v>
      </c>
      <c r="E10" s="10" t="s">
        <v>34</v>
      </c>
      <c r="F10" s="10" t="s">
        <v>35</v>
      </c>
      <c r="G10" s="10" t="s">
        <v>36</v>
      </c>
      <c r="H10" s="61">
        <v>5.5</v>
      </c>
      <c r="I10" s="11">
        <v>13398</v>
      </c>
      <c r="J10" s="12">
        <v>11.6</v>
      </c>
      <c r="K10" s="12">
        <v>131</v>
      </c>
      <c r="L10" s="13">
        <v>11.29</v>
      </c>
      <c r="M10" s="12">
        <v>0</v>
      </c>
      <c r="N10" s="10"/>
      <c r="O10" s="7" t="s">
        <v>23</v>
      </c>
      <c r="P10" s="14"/>
    </row>
    <row r="11" spans="1:16" ht="17" customHeight="1" x14ac:dyDescent="0.2">
      <c r="A11" s="2">
        <v>7</v>
      </c>
      <c r="B11" s="63">
        <v>46116</v>
      </c>
      <c r="C11" s="3" t="s">
        <v>155</v>
      </c>
      <c r="D11" s="3" t="s">
        <v>18</v>
      </c>
      <c r="E11" s="3" t="s">
        <v>37</v>
      </c>
      <c r="F11" s="3" t="s">
        <v>35</v>
      </c>
      <c r="G11" s="3" t="s">
        <v>36</v>
      </c>
      <c r="H11" s="60">
        <v>13.375</v>
      </c>
      <c r="I11" s="4">
        <v>10620</v>
      </c>
      <c r="J11" s="5">
        <v>14.7</v>
      </c>
      <c r="K11" s="5">
        <v>70</v>
      </c>
      <c r="L11" s="6">
        <v>4.76</v>
      </c>
      <c r="M11" s="5">
        <v>0</v>
      </c>
      <c r="N11" s="3"/>
      <c r="O11" s="15" t="s">
        <v>38</v>
      </c>
      <c r="P11" s="8"/>
    </row>
    <row r="12" spans="1:16" ht="17" customHeight="1" x14ac:dyDescent="0.2">
      <c r="A12" s="9">
        <v>8</v>
      </c>
      <c r="B12" s="64">
        <v>46116</v>
      </c>
      <c r="C12" s="10" t="s">
        <v>157</v>
      </c>
      <c r="D12" s="10" t="s">
        <v>39</v>
      </c>
      <c r="E12" s="10" t="s">
        <v>40</v>
      </c>
      <c r="F12" s="10" t="s">
        <v>41</v>
      </c>
      <c r="G12" s="10" t="s">
        <v>21</v>
      </c>
      <c r="H12" s="61">
        <v>4.5</v>
      </c>
      <c r="I12" s="11">
        <v>5749</v>
      </c>
      <c r="J12" s="12">
        <v>4.5999999999999996</v>
      </c>
      <c r="K12" s="12">
        <v>56</v>
      </c>
      <c r="L12" s="13">
        <v>12.17</v>
      </c>
      <c r="M12" s="12">
        <v>0</v>
      </c>
      <c r="N12" s="10"/>
      <c r="O12" s="7" t="s">
        <v>23</v>
      </c>
      <c r="P12" s="14"/>
    </row>
    <row r="13" spans="1:16" ht="17" customHeight="1" x14ac:dyDescent="0.2">
      <c r="A13" s="2">
        <v>9</v>
      </c>
      <c r="B13" s="63">
        <v>46117</v>
      </c>
      <c r="C13" s="3" t="s">
        <v>158</v>
      </c>
      <c r="D13" s="3" t="s">
        <v>26</v>
      </c>
      <c r="E13" s="3" t="s">
        <v>42</v>
      </c>
      <c r="F13" s="3" t="s">
        <v>41</v>
      </c>
      <c r="G13" s="3" t="s">
        <v>31</v>
      </c>
      <c r="H13" s="60">
        <v>9.625</v>
      </c>
      <c r="I13" s="4">
        <v>13616</v>
      </c>
      <c r="J13" s="5">
        <v>16.899999999999999</v>
      </c>
      <c r="K13" s="5">
        <v>108</v>
      </c>
      <c r="L13" s="6">
        <v>6.39</v>
      </c>
      <c r="M13" s="5">
        <v>0</v>
      </c>
      <c r="N13" s="3"/>
      <c r="O13" s="7" t="s">
        <v>23</v>
      </c>
      <c r="P13" s="8"/>
    </row>
    <row r="14" spans="1:16" ht="17" customHeight="1" x14ac:dyDescent="0.2">
      <c r="A14" s="9">
        <v>10</v>
      </c>
      <c r="B14" s="64">
        <v>46117</v>
      </c>
      <c r="C14" s="10" t="s">
        <v>157</v>
      </c>
      <c r="D14" s="10" t="s">
        <v>43</v>
      </c>
      <c r="E14" s="10" t="s">
        <v>44</v>
      </c>
      <c r="F14" s="10" t="s">
        <v>28</v>
      </c>
      <c r="G14" s="10" t="s">
        <v>21</v>
      </c>
      <c r="H14" s="61">
        <v>13.375</v>
      </c>
      <c r="I14" s="11">
        <v>8141</v>
      </c>
      <c r="J14" s="12">
        <v>15.7</v>
      </c>
      <c r="K14" s="12">
        <v>65</v>
      </c>
      <c r="L14" s="13">
        <v>4.1399999999999997</v>
      </c>
      <c r="M14" s="12">
        <v>0</v>
      </c>
      <c r="N14" s="10"/>
      <c r="O14" s="7" t="s">
        <v>23</v>
      </c>
      <c r="P14" s="14"/>
    </row>
    <row r="15" spans="1:16" ht="17" customHeight="1" x14ac:dyDescent="0.2">
      <c r="A15" s="2">
        <v>11</v>
      </c>
      <c r="B15" s="63">
        <v>46117</v>
      </c>
      <c r="C15" s="3" t="s">
        <v>154</v>
      </c>
      <c r="D15" s="3" t="s">
        <v>18</v>
      </c>
      <c r="E15" s="3" t="s">
        <v>45</v>
      </c>
      <c r="F15" s="3" t="s">
        <v>20</v>
      </c>
      <c r="G15" s="3" t="s">
        <v>36</v>
      </c>
      <c r="H15" s="60">
        <v>5.5</v>
      </c>
      <c r="I15" s="4">
        <v>10529</v>
      </c>
      <c r="J15" s="5">
        <v>19.8</v>
      </c>
      <c r="K15" s="5">
        <v>208</v>
      </c>
      <c r="L15" s="6">
        <v>10.51</v>
      </c>
      <c r="M15" s="5">
        <v>0</v>
      </c>
      <c r="N15" s="3"/>
      <c r="O15" s="7" t="s">
        <v>23</v>
      </c>
      <c r="P15" s="8"/>
    </row>
    <row r="16" spans="1:16" ht="17" customHeight="1" x14ac:dyDescent="0.2">
      <c r="A16" s="9">
        <v>12</v>
      </c>
      <c r="B16" s="64">
        <v>46118</v>
      </c>
      <c r="C16" s="10" t="s">
        <v>156</v>
      </c>
      <c r="D16" s="10" t="s">
        <v>29</v>
      </c>
      <c r="E16" s="10" t="s">
        <v>46</v>
      </c>
      <c r="F16" s="10" t="s">
        <v>28</v>
      </c>
      <c r="G16" s="10" t="s">
        <v>21</v>
      </c>
      <c r="H16" s="61">
        <v>13.375</v>
      </c>
      <c r="I16" s="11">
        <v>13329</v>
      </c>
      <c r="J16" s="12">
        <v>4.2</v>
      </c>
      <c r="K16" s="12">
        <v>7</v>
      </c>
      <c r="L16" s="13">
        <v>4.67</v>
      </c>
      <c r="M16" s="12">
        <v>2.7</v>
      </c>
      <c r="N16" s="10" t="s">
        <v>33</v>
      </c>
      <c r="O16" s="7" t="s">
        <v>23</v>
      </c>
      <c r="P16" s="14"/>
    </row>
    <row r="17" spans="1:16" ht="17" customHeight="1" x14ac:dyDescent="0.2">
      <c r="A17" s="2">
        <v>13</v>
      </c>
      <c r="B17" s="63">
        <v>46118</v>
      </c>
      <c r="C17" s="3" t="s">
        <v>154</v>
      </c>
      <c r="D17" s="3" t="s">
        <v>43</v>
      </c>
      <c r="E17" s="3" t="s">
        <v>47</v>
      </c>
      <c r="F17" s="3" t="s">
        <v>35</v>
      </c>
      <c r="G17" s="3" t="s">
        <v>31</v>
      </c>
      <c r="H17" s="60">
        <v>5.5</v>
      </c>
      <c r="I17" s="4">
        <v>8445</v>
      </c>
      <c r="J17" s="5">
        <v>23.1</v>
      </c>
      <c r="K17" s="5">
        <v>224</v>
      </c>
      <c r="L17" s="6">
        <v>10.18</v>
      </c>
      <c r="M17" s="5">
        <v>1.1000000000000001</v>
      </c>
      <c r="N17" s="3" t="s">
        <v>33</v>
      </c>
      <c r="O17" s="7" t="s">
        <v>23</v>
      </c>
      <c r="P17" s="8"/>
    </row>
    <row r="18" spans="1:16" ht="17" customHeight="1" x14ac:dyDescent="0.2">
      <c r="A18" s="9">
        <v>14</v>
      </c>
      <c r="B18" s="64">
        <v>46118</v>
      </c>
      <c r="C18" s="10" t="s">
        <v>158</v>
      </c>
      <c r="D18" s="10" t="s">
        <v>43</v>
      </c>
      <c r="E18" s="10" t="s">
        <v>48</v>
      </c>
      <c r="F18" s="10" t="s">
        <v>28</v>
      </c>
      <c r="G18" s="10" t="s">
        <v>49</v>
      </c>
      <c r="H18" s="61">
        <v>5.5</v>
      </c>
      <c r="I18" s="11">
        <v>4834</v>
      </c>
      <c r="J18" s="12">
        <v>19.3</v>
      </c>
      <c r="K18" s="12">
        <v>170</v>
      </c>
      <c r="L18" s="13">
        <v>10.49</v>
      </c>
      <c r="M18" s="12">
        <v>3.1</v>
      </c>
      <c r="N18" s="10" t="s">
        <v>33</v>
      </c>
      <c r="O18" s="7" t="s">
        <v>23</v>
      </c>
      <c r="P18" s="14"/>
    </row>
    <row r="19" spans="1:16" ht="17" customHeight="1" x14ac:dyDescent="0.2">
      <c r="A19" s="2">
        <v>15</v>
      </c>
      <c r="B19" s="63">
        <v>46119</v>
      </c>
      <c r="C19" s="3" t="s">
        <v>154</v>
      </c>
      <c r="D19" s="3" t="s">
        <v>43</v>
      </c>
      <c r="E19" s="3" t="s">
        <v>50</v>
      </c>
      <c r="F19" s="3" t="s">
        <v>20</v>
      </c>
      <c r="G19" s="3" t="s">
        <v>21</v>
      </c>
      <c r="H19" s="60">
        <v>7</v>
      </c>
      <c r="I19" s="4">
        <v>5873</v>
      </c>
      <c r="J19" s="5">
        <v>8.8000000000000007</v>
      </c>
      <c r="K19" s="5">
        <v>78</v>
      </c>
      <c r="L19" s="6">
        <v>9.18</v>
      </c>
      <c r="M19" s="5">
        <v>0.3</v>
      </c>
      <c r="N19" s="3" t="s">
        <v>51</v>
      </c>
      <c r="O19" s="7" t="s">
        <v>23</v>
      </c>
      <c r="P19" s="8"/>
    </row>
    <row r="20" spans="1:16" ht="17" customHeight="1" x14ac:dyDescent="0.2">
      <c r="A20" s="9">
        <v>16</v>
      </c>
      <c r="B20" s="64">
        <v>46119</v>
      </c>
      <c r="C20" s="10" t="s">
        <v>155</v>
      </c>
      <c r="D20" s="10" t="s">
        <v>29</v>
      </c>
      <c r="E20" s="10" t="s">
        <v>52</v>
      </c>
      <c r="F20" s="10" t="s">
        <v>41</v>
      </c>
      <c r="G20" s="10" t="s">
        <v>31</v>
      </c>
      <c r="H20" s="61">
        <v>13.375</v>
      </c>
      <c r="I20" s="11">
        <v>4982</v>
      </c>
      <c r="J20" s="12">
        <v>14.6</v>
      </c>
      <c r="K20" s="12">
        <v>48</v>
      </c>
      <c r="L20" s="13">
        <v>4.49</v>
      </c>
      <c r="M20" s="12">
        <v>3.9</v>
      </c>
      <c r="N20" s="10" t="s">
        <v>33</v>
      </c>
      <c r="O20" s="7" t="s">
        <v>23</v>
      </c>
      <c r="P20" s="14"/>
    </row>
    <row r="21" spans="1:16" ht="17" customHeight="1" x14ac:dyDescent="0.2">
      <c r="A21" s="2">
        <v>17</v>
      </c>
      <c r="B21" s="63">
        <v>46120</v>
      </c>
      <c r="C21" s="3" t="s">
        <v>158</v>
      </c>
      <c r="D21" s="3" t="s">
        <v>43</v>
      </c>
      <c r="E21" s="3" t="s">
        <v>53</v>
      </c>
      <c r="F21" s="3" t="s">
        <v>54</v>
      </c>
      <c r="G21" s="3" t="s">
        <v>49</v>
      </c>
      <c r="H21" s="60">
        <v>9.625</v>
      </c>
      <c r="I21" s="4">
        <v>4452</v>
      </c>
      <c r="J21" s="5">
        <v>8.5</v>
      </c>
      <c r="K21" s="5">
        <v>53</v>
      </c>
      <c r="L21" s="6">
        <v>6.24</v>
      </c>
      <c r="M21" s="5">
        <v>0</v>
      </c>
      <c r="N21" s="3"/>
      <c r="O21" s="7" t="s">
        <v>23</v>
      </c>
      <c r="P21" s="8"/>
    </row>
    <row r="22" spans="1:16" ht="17" customHeight="1" x14ac:dyDescent="0.2">
      <c r="A22" s="9">
        <v>18</v>
      </c>
      <c r="B22" s="64">
        <v>46120</v>
      </c>
      <c r="C22" s="10" t="s">
        <v>157</v>
      </c>
      <c r="D22" s="10" t="s">
        <v>55</v>
      </c>
      <c r="E22" s="10" t="s">
        <v>56</v>
      </c>
      <c r="F22" s="10" t="s">
        <v>41</v>
      </c>
      <c r="G22" s="10" t="s">
        <v>36</v>
      </c>
      <c r="H22" s="61">
        <v>4.5</v>
      </c>
      <c r="I22" s="11">
        <v>11494</v>
      </c>
      <c r="J22" s="12">
        <v>5.2</v>
      </c>
      <c r="K22" s="12">
        <v>69</v>
      </c>
      <c r="L22" s="13">
        <v>13.27</v>
      </c>
      <c r="M22" s="12">
        <v>0</v>
      </c>
      <c r="N22" s="10"/>
      <c r="O22" s="7" t="s">
        <v>23</v>
      </c>
      <c r="P22" s="14"/>
    </row>
    <row r="23" spans="1:16" ht="17" customHeight="1" x14ac:dyDescent="0.2">
      <c r="A23" s="2">
        <v>19</v>
      </c>
      <c r="B23" s="63">
        <v>46121</v>
      </c>
      <c r="C23" s="3" t="s">
        <v>155</v>
      </c>
      <c r="D23" s="3" t="s">
        <v>18</v>
      </c>
      <c r="E23" s="3" t="s">
        <v>57</v>
      </c>
      <c r="F23" s="3" t="s">
        <v>35</v>
      </c>
      <c r="G23" s="3" t="s">
        <v>31</v>
      </c>
      <c r="H23" s="60">
        <v>5.5</v>
      </c>
      <c r="I23" s="4">
        <v>9471</v>
      </c>
      <c r="J23" s="5">
        <v>18.5</v>
      </c>
      <c r="K23" s="5">
        <v>187</v>
      </c>
      <c r="L23" s="6">
        <v>11.54</v>
      </c>
      <c r="M23" s="5">
        <v>2.2999999999999998</v>
      </c>
      <c r="N23" s="3" t="s">
        <v>58</v>
      </c>
      <c r="O23" s="15" t="s">
        <v>38</v>
      </c>
      <c r="P23" s="8"/>
    </row>
    <row r="24" spans="1:16" ht="17" customHeight="1" x14ac:dyDescent="0.2">
      <c r="A24" s="9">
        <v>20</v>
      </c>
      <c r="B24" s="64">
        <v>46121</v>
      </c>
      <c r="C24" s="10" t="s">
        <v>154</v>
      </c>
      <c r="D24" s="10" t="s">
        <v>18</v>
      </c>
      <c r="E24" s="10" t="s">
        <v>59</v>
      </c>
      <c r="F24" s="10" t="s">
        <v>20</v>
      </c>
      <c r="G24" s="10" t="s">
        <v>31</v>
      </c>
      <c r="H24" s="61">
        <v>7</v>
      </c>
      <c r="I24" s="11">
        <v>8083</v>
      </c>
      <c r="J24" s="12">
        <v>13.3</v>
      </c>
      <c r="K24" s="12">
        <v>88</v>
      </c>
      <c r="L24" s="13">
        <v>8.3000000000000007</v>
      </c>
      <c r="M24" s="12">
        <v>2.7</v>
      </c>
      <c r="N24" s="10" t="s">
        <v>22</v>
      </c>
      <c r="O24" s="7" t="s">
        <v>23</v>
      </c>
      <c r="P24" s="14"/>
    </row>
    <row r="25" spans="1:16" ht="17" customHeight="1" x14ac:dyDescent="0.2">
      <c r="A25" s="2">
        <v>21</v>
      </c>
      <c r="B25" s="63">
        <v>46121</v>
      </c>
      <c r="C25" s="3" t="s">
        <v>158</v>
      </c>
      <c r="D25" s="3" t="s">
        <v>18</v>
      </c>
      <c r="E25" s="3" t="s">
        <v>60</v>
      </c>
      <c r="F25" s="3" t="s">
        <v>20</v>
      </c>
      <c r="G25" s="3" t="s">
        <v>25</v>
      </c>
      <c r="H25" s="60">
        <v>5.5</v>
      </c>
      <c r="I25" s="4">
        <v>5283</v>
      </c>
      <c r="J25" s="5">
        <v>13</v>
      </c>
      <c r="K25" s="5">
        <v>150</v>
      </c>
      <c r="L25" s="6">
        <v>11.54</v>
      </c>
      <c r="M25" s="5">
        <v>0</v>
      </c>
      <c r="N25" s="3"/>
      <c r="O25" s="7" t="s">
        <v>23</v>
      </c>
      <c r="P25" s="8"/>
    </row>
    <row r="26" spans="1:16" ht="17" customHeight="1" x14ac:dyDescent="0.2">
      <c r="A26" s="9">
        <v>22</v>
      </c>
      <c r="B26" s="64">
        <v>46122</v>
      </c>
      <c r="C26" s="10" t="s">
        <v>156</v>
      </c>
      <c r="D26" s="10" t="s">
        <v>26</v>
      </c>
      <c r="E26" s="10" t="s">
        <v>61</v>
      </c>
      <c r="F26" s="10" t="s">
        <v>28</v>
      </c>
      <c r="G26" s="10" t="s">
        <v>36</v>
      </c>
      <c r="H26" s="61">
        <v>4.5</v>
      </c>
      <c r="I26" s="11">
        <v>10826</v>
      </c>
      <c r="J26" s="12">
        <v>14.8</v>
      </c>
      <c r="K26" s="12">
        <v>198</v>
      </c>
      <c r="L26" s="13">
        <v>13.38</v>
      </c>
      <c r="M26" s="12">
        <v>0</v>
      </c>
      <c r="N26" s="10"/>
      <c r="O26" s="7" t="s">
        <v>23</v>
      </c>
      <c r="P26" s="14"/>
    </row>
    <row r="27" spans="1:16" ht="17" customHeight="1" x14ac:dyDescent="0.2">
      <c r="A27" s="2">
        <v>23</v>
      </c>
      <c r="B27" s="63">
        <v>46123</v>
      </c>
      <c r="C27" s="3" t="s">
        <v>156</v>
      </c>
      <c r="D27" s="3" t="s">
        <v>55</v>
      </c>
      <c r="E27" s="3" t="s">
        <v>62</v>
      </c>
      <c r="F27" s="3" t="s">
        <v>54</v>
      </c>
      <c r="G27" s="3" t="s">
        <v>25</v>
      </c>
      <c r="H27" s="60">
        <v>9.625</v>
      </c>
      <c r="I27" s="4">
        <v>13829</v>
      </c>
      <c r="J27" s="5">
        <v>7.3</v>
      </c>
      <c r="K27" s="5">
        <v>46</v>
      </c>
      <c r="L27" s="6">
        <v>6.3</v>
      </c>
      <c r="M27" s="5">
        <v>0</v>
      </c>
      <c r="N27" s="3"/>
      <c r="O27" s="15" t="s">
        <v>38</v>
      </c>
      <c r="P27" s="8"/>
    </row>
    <row r="28" spans="1:16" ht="17" customHeight="1" x14ac:dyDescent="0.2">
      <c r="A28" s="9">
        <v>24</v>
      </c>
      <c r="B28" s="64">
        <v>46123</v>
      </c>
      <c r="C28" s="10" t="s">
        <v>156</v>
      </c>
      <c r="D28" s="10" t="s">
        <v>39</v>
      </c>
      <c r="E28" s="10" t="s">
        <v>63</v>
      </c>
      <c r="F28" s="10" t="s">
        <v>35</v>
      </c>
      <c r="G28" s="10" t="s">
        <v>31</v>
      </c>
      <c r="H28" s="61">
        <v>13.375</v>
      </c>
      <c r="I28" s="11">
        <v>10942</v>
      </c>
      <c r="J28" s="12">
        <v>13.7</v>
      </c>
      <c r="K28" s="12">
        <v>58</v>
      </c>
      <c r="L28" s="13">
        <v>4.2300000000000004</v>
      </c>
      <c r="M28" s="12">
        <v>0</v>
      </c>
      <c r="N28" s="10"/>
      <c r="O28" s="7" t="s">
        <v>23</v>
      </c>
      <c r="P28" s="14"/>
    </row>
    <row r="29" spans="1:16" ht="17" customHeight="1" x14ac:dyDescent="0.2">
      <c r="A29" s="2">
        <v>25</v>
      </c>
      <c r="B29" s="63">
        <v>46124</v>
      </c>
      <c r="C29" s="3" t="s">
        <v>157</v>
      </c>
      <c r="D29" s="3" t="s">
        <v>39</v>
      </c>
      <c r="E29" s="3" t="s">
        <v>64</v>
      </c>
      <c r="F29" s="3" t="s">
        <v>20</v>
      </c>
      <c r="G29" s="3" t="s">
        <v>21</v>
      </c>
      <c r="H29" s="60">
        <v>4.5</v>
      </c>
      <c r="I29" s="4">
        <v>3602</v>
      </c>
      <c r="J29" s="5">
        <v>13.5</v>
      </c>
      <c r="K29" s="5">
        <v>159</v>
      </c>
      <c r="L29" s="6">
        <v>13.95</v>
      </c>
      <c r="M29" s="5">
        <v>2.1</v>
      </c>
      <c r="N29" s="3" t="s">
        <v>22</v>
      </c>
      <c r="O29" s="7" t="s">
        <v>23</v>
      </c>
      <c r="P29" s="8"/>
    </row>
    <row r="30" spans="1:16" ht="17" customHeight="1" x14ac:dyDescent="0.2">
      <c r="A30" s="9">
        <v>26</v>
      </c>
      <c r="B30" s="64">
        <v>46124</v>
      </c>
      <c r="C30" s="10" t="s">
        <v>155</v>
      </c>
      <c r="D30" s="10" t="s">
        <v>26</v>
      </c>
      <c r="E30" s="10" t="s">
        <v>65</v>
      </c>
      <c r="F30" s="10" t="s">
        <v>20</v>
      </c>
      <c r="G30" s="10" t="s">
        <v>49</v>
      </c>
      <c r="H30" s="61">
        <v>4.5</v>
      </c>
      <c r="I30" s="11">
        <v>11103</v>
      </c>
      <c r="J30" s="12">
        <v>8.6999999999999993</v>
      </c>
      <c r="K30" s="12">
        <v>110</v>
      </c>
      <c r="L30" s="13">
        <v>12.64</v>
      </c>
      <c r="M30" s="12">
        <v>0</v>
      </c>
      <c r="N30" s="10"/>
      <c r="O30" s="7" t="s">
        <v>23</v>
      </c>
      <c r="P30" s="14"/>
    </row>
    <row r="31" spans="1:16" ht="17" customHeight="1" x14ac:dyDescent="0.2">
      <c r="A31" s="2">
        <v>27</v>
      </c>
      <c r="B31" s="63">
        <v>46124</v>
      </c>
      <c r="C31" s="3" t="s">
        <v>157</v>
      </c>
      <c r="D31" s="3" t="s">
        <v>26</v>
      </c>
      <c r="E31" s="3" t="s">
        <v>66</v>
      </c>
      <c r="F31" s="3" t="s">
        <v>20</v>
      </c>
      <c r="G31" s="3" t="s">
        <v>49</v>
      </c>
      <c r="H31" s="60">
        <v>4.5</v>
      </c>
      <c r="I31" s="4">
        <v>8031</v>
      </c>
      <c r="J31" s="5">
        <v>15.7</v>
      </c>
      <c r="K31" s="5">
        <v>146</v>
      </c>
      <c r="L31" s="6">
        <v>12.17</v>
      </c>
      <c r="M31" s="5">
        <v>3.7</v>
      </c>
      <c r="N31" s="3" t="s">
        <v>58</v>
      </c>
      <c r="O31" s="7" t="s">
        <v>23</v>
      </c>
      <c r="P31" s="8"/>
    </row>
    <row r="32" spans="1:16" ht="17" customHeight="1" x14ac:dyDescent="0.2">
      <c r="A32" s="9">
        <v>28</v>
      </c>
      <c r="B32" s="64">
        <v>46125</v>
      </c>
      <c r="C32" s="10" t="s">
        <v>155</v>
      </c>
      <c r="D32" s="10" t="s">
        <v>43</v>
      </c>
      <c r="E32" s="10" t="s">
        <v>67</v>
      </c>
      <c r="F32" s="10" t="s">
        <v>35</v>
      </c>
      <c r="G32" s="10" t="s">
        <v>31</v>
      </c>
      <c r="H32" s="61">
        <v>7</v>
      </c>
      <c r="I32" s="11">
        <v>14148</v>
      </c>
      <c r="J32" s="12">
        <v>22.7</v>
      </c>
      <c r="K32" s="12">
        <v>191</v>
      </c>
      <c r="L32" s="13">
        <v>8.41</v>
      </c>
      <c r="M32" s="12">
        <v>0</v>
      </c>
      <c r="N32" s="10"/>
      <c r="O32" s="7" t="s">
        <v>23</v>
      </c>
      <c r="P32" s="14"/>
    </row>
    <row r="33" spans="1:16" ht="17" customHeight="1" x14ac:dyDescent="0.2">
      <c r="A33" s="2">
        <v>29</v>
      </c>
      <c r="B33" s="63">
        <v>46125</v>
      </c>
      <c r="C33" s="3" t="s">
        <v>154</v>
      </c>
      <c r="D33" s="3" t="s">
        <v>26</v>
      </c>
      <c r="E33" s="3" t="s">
        <v>68</v>
      </c>
      <c r="F33" s="3" t="s">
        <v>28</v>
      </c>
      <c r="G33" s="3" t="s">
        <v>25</v>
      </c>
      <c r="H33" s="60">
        <v>13.375</v>
      </c>
      <c r="I33" s="4">
        <v>6182</v>
      </c>
      <c r="J33" s="5">
        <v>22.7</v>
      </c>
      <c r="K33" s="5">
        <v>91</v>
      </c>
      <c r="L33" s="6">
        <v>4.74</v>
      </c>
      <c r="M33" s="5">
        <v>3.5</v>
      </c>
      <c r="N33" s="3" t="s">
        <v>69</v>
      </c>
      <c r="O33" s="7" t="s">
        <v>23</v>
      </c>
      <c r="P33" s="8"/>
    </row>
    <row r="34" spans="1:16" ht="17" customHeight="1" x14ac:dyDescent="0.2">
      <c r="A34" s="9">
        <v>30</v>
      </c>
      <c r="B34" s="64">
        <v>46126</v>
      </c>
      <c r="C34" s="10" t="s">
        <v>158</v>
      </c>
      <c r="D34" s="10" t="s">
        <v>39</v>
      </c>
      <c r="E34" s="10" t="s">
        <v>70</v>
      </c>
      <c r="F34" s="10" t="s">
        <v>28</v>
      </c>
      <c r="G34" s="10" t="s">
        <v>49</v>
      </c>
      <c r="H34" s="61">
        <v>4.5</v>
      </c>
      <c r="I34" s="11">
        <v>11014</v>
      </c>
      <c r="J34" s="12">
        <v>15.1</v>
      </c>
      <c r="K34" s="12">
        <v>194</v>
      </c>
      <c r="L34" s="13">
        <v>13.2</v>
      </c>
      <c r="M34" s="12">
        <v>0.4</v>
      </c>
      <c r="N34" s="10" t="s">
        <v>58</v>
      </c>
      <c r="O34" s="7" t="s">
        <v>23</v>
      </c>
      <c r="P34" s="14"/>
    </row>
    <row r="35" spans="1:16" ht="17" customHeight="1" x14ac:dyDescent="0.2">
      <c r="A35" s="2">
        <v>31</v>
      </c>
      <c r="B35" s="63">
        <v>46126</v>
      </c>
      <c r="C35" s="3" t="s">
        <v>157</v>
      </c>
      <c r="D35" s="3" t="s">
        <v>43</v>
      </c>
      <c r="E35" s="3" t="s">
        <v>71</v>
      </c>
      <c r="F35" s="3" t="s">
        <v>41</v>
      </c>
      <c r="G35" s="3" t="s">
        <v>21</v>
      </c>
      <c r="H35" s="60">
        <v>7</v>
      </c>
      <c r="I35" s="4">
        <v>10258</v>
      </c>
      <c r="J35" s="5">
        <v>18.399999999999999</v>
      </c>
      <c r="K35" s="5">
        <v>174</v>
      </c>
      <c r="L35" s="6">
        <v>9.4600000000000009</v>
      </c>
      <c r="M35" s="5">
        <v>0</v>
      </c>
      <c r="N35" s="3"/>
      <c r="O35" s="7" t="s">
        <v>23</v>
      </c>
      <c r="P35" s="8"/>
    </row>
    <row r="36" spans="1:16" ht="17" customHeight="1" x14ac:dyDescent="0.2">
      <c r="A36" s="9">
        <v>32</v>
      </c>
      <c r="B36" s="64">
        <v>46126</v>
      </c>
      <c r="C36" s="10" t="s">
        <v>158</v>
      </c>
      <c r="D36" s="10" t="s">
        <v>29</v>
      </c>
      <c r="E36" s="10" t="s">
        <v>72</v>
      </c>
      <c r="F36" s="10" t="s">
        <v>20</v>
      </c>
      <c r="G36" s="10" t="s">
        <v>36</v>
      </c>
      <c r="H36" s="61">
        <v>9.625</v>
      </c>
      <c r="I36" s="11">
        <v>12952</v>
      </c>
      <c r="J36" s="12">
        <v>4.9000000000000004</v>
      </c>
      <c r="K36" s="12">
        <v>33</v>
      </c>
      <c r="L36" s="13">
        <v>6.73</v>
      </c>
      <c r="M36" s="12">
        <v>0</v>
      </c>
      <c r="N36" s="10"/>
      <c r="O36" s="7" t="s">
        <v>23</v>
      </c>
      <c r="P36" s="14"/>
    </row>
    <row r="37" spans="1:16" ht="17" customHeight="1" x14ac:dyDescent="0.2">
      <c r="A37" s="2">
        <v>33</v>
      </c>
      <c r="B37" s="63">
        <v>46127</v>
      </c>
      <c r="C37" s="3" t="s">
        <v>156</v>
      </c>
      <c r="D37" s="3" t="s">
        <v>55</v>
      </c>
      <c r="E37" s="3" t="s">
        <v>73</v>
      </c>
      <c r="F37" s="3" t="s">
        <v>28</v>
      </c>
      <c r="G37" s="3" t="s">
        <v>31</v>
      </c>
      <c r="H37" s="60">
        <v>13.375</v>
      </c>
      <c r="I37" s="4">
        <v>3116</v>
      </c>
      <c r="J37" s="5">
        <v>5.5</v>
      </c>
      <c r="K37" s="5">
        <v>9</v>
      </c>
      <c r="L37" s="6">
        <v>4.74</v>
      </c>
      <c r="M37" s="5">
        <v>3.6</v>
      </c>
      <c r="N37" s="3" t="s">
        <v>33</v>
      </c>
      <c r="O37" s="7" t="s">
        <v>23</v>
      </c>
      <c r="P37" s="8"/>
    </row>
    <row r="38" spans="1:16" ht="17" customHeight="1" x14ac:dyDescent="0.2">
      <c r="A38" s="9">
        <v>34</v>
      </c>
      <c r="B38" s="64">
        <v>46128</v>
      </c>
      <c r="C38" s="10" t="s">
        <v>155</v>
      </c>
      <c r="D38" s="10" t="s">
        <v>29</v>
      </c>
      <c r="E38" s="10" t="s">
        <v>60</v>
      </c>
      <c r="F38" s="10" t="s">
        <v>54</v>
      </c>
      <c r="G38" s="10" t="s">
        <v>25</v>
      </c>
      <c r="H38" s="61">
        <v>4.5</v>
      </c>
      <c r="I38" s="11">
        <v>6699</v>
      </c>
      <c r="J38" s="12">
        <v>22</v>
      </c>
      <c r="K38" s="12">
        <v>260</v>
      </c>
      <c r="L38" s="13">
        <v>13.98</v>
      </c>
      <c r="M38" s="12">
        <v>3.4</v>
      </c>
      <c r="N38" s="10" t="s">
        <v>69</v>
      </c>
      <c r="O38" s="7" t="s">
        <v>23</v>
      </c>
      <c r="P38" s="14"/>
    </row>
    <row r="39" spans="1:16" ht="17" customHeight="1" x14ac:dyDescent="0.2">
      <c r="A39" s="2">
        <v>35</v>
      </c>
      <c r="B39" s="63">
        <v>46128</v>
      </c>
      <c r="C39" s="3" t="s">
        <v>154</v>
      </c>
      <c r="D39" s="3" t="s">
        <v>18</v>
      </c>
      <c r="E39" s="3" t="s">
        <v>74</v>
      </c>
      <c r="F39" s="3" t="s">
        <v>35</v>
      </c>
      <c r="G39" s="3" t="s">
        <v>49</v>
      </c>
      <c r="H39" s="60">
        <v>9.625</v>
      </c>
      <c r="I39" s="4">
        <v>14686</v>
      </c>
      <c r="J39" s="5">
        <v>19</v>
      </c>
      <c r="K39" s="5">
        <v>115</v>
      </c>
      <c r="L39" s="6">
        <v>6.35</v>
      </c>
      <c r="M39" s="5">
        <v>0.9</v>
      </c>
      <c r="N39" s="3" t="s">
        <v>58</v>
      </c>
      <c r="O39" s="7" t="s">
        <v>23</v>
      </c>
      <c r="P39" s="8"/>
    </row>
    <row r="40" spans="1:16" ht="17" customHeight="1" x14ac:dyDescent="0.2">
      <c r="A40" s="9">
        <v>36</v>
      </c>
      <c r="B40" s="64">
        <v>46128</v>
      </c>
      <c r="C40" s="10" t="s">
        <v>155</v>
      </c>
      <c r="D40" s="10" t="s">
        <v>18</v>
      </c>
      <c r="E40" s="10" t="s">
        <v>75</v>
      </c>
      <c r="F40" s="10" t="s">
        <v>35</v>
      </c>
      <c r="G40" s="10" t="s">
        <v>31</v>
      </c>
      <c r="H40" s="61">
        <v>5.5</v>
      </c>
      <c r="I40" s="11">
        <v>6202</v>
      </c>
      <c r="J40" s="12">
        <v>19.7</v>
      </c>
      <c r="K40" s="12">
        <v>219</v>
      </c>
      <c r="L40" s="13">
        <v>11.12</v>
      </c>
      <c r="M40" s="12">
        <v>0</v>
      </c>
      <c r="N40" s="10"/>
      <c r="O40" s="7" t="s">
        <v>23</v>
      </c>
      <c r="P40" s="14"/>
    </row>
    <row r="41" spans="1:16" ht="17" customHeight="1" x14ac:dyDescent="0.2">
      <c r="A41" s="2">
        <v>37</v>
      </c>
      <c r="B41" s="63">
        <v>46129</v>
      </c>
      <c r="C41" s="3" t="s">
        <v>156</v>
      </c>
      <c r="D41" s="3" t="s">
        <v>39</v>
      </c>
      <c r="E41" s="3" t="s">
        <v>76</v>
      </c>
      <c r="F41" s="3" t="s">
        <v>35</v>
      </c>
      <c r="G41" s="3" t="s">
        <v>21</v>
      </c>
      <c r="H41" s="60">
        <v>5.5</v>
      </c>
      <c r="I41" s="4">
        <v>5675</v>
      </c>
      <c r="J41" s="5">
        <v>17.2</v>
      </c>
      <c r="K41" s="5">
        <v>199</v>
      </c>
      <c r="L41" s="6">
        <v>11.57</v>
      </c>
      <c r="M41" s="5">
        <v>0</v>
      </c>
      <c r="N41" s="3"/>
      <c r="O41" s="7" t="s">
        <v>23</v>
      </c>
      <c r="P41" s="8"/>
    </row>
    <row r="42" spans="1:16" ht="17" customHeight="1" x14ac:dyDescent="0.2">
      <c r="A42" s="9">
        <v>38</v>
      </c>
      <c r="B42" s="64">
        <v>46130</v>
      </c>
      <c r="C42" s="10" t="s">
        <v>158</v>
      </c>
      <c r="D42" s="10" t="s">
        <v>39</v>
      </c>
      <c r="E42" s="10" t="s">
        <v>77</v>
      </c>
      <c r="F42" s="10" t="s">
        <v>28</v>
      </c>
      <c r="G42" s="10" t="s">
        <v>31</v>
      </c>
      <c r="H42" s="61">
        <v>13.375</v>
      </c>
      <c r="I42" s="11">
        <v>6974</v>
      </c>
      <c r="J42" s="12">
        <v>4.5999999999999996</v>
      </c>
      <c r="K42" s="12">
        <v>17</v>
      </c>
      <c r="L42" s="13">
        <v>4.72</v>
      </c>
      <c r="M42" s="12">
        <v>1</v>
      </c>
      <c r="N42" s="10" t="s">
        <v>33</v>
      </c>
      <c r="O42" s="7" t="s">
        <v>23</v>
      </c>
      <c r="P42" s="14"/>
    </row>
    <row r="43" spans="1:16" ht="17" customHeight="1" x14ac:dyDescent="0.2">
      <c r="A43" s="2">
        <v>39</v>
      </c>
      <c r="B43" s="63">
        <v>46130</v>
      </c>
      <c r="C43" s="3" t="s">
        <v>157</v>
      </c>
      <c r="D43" s="3" t="s">
        <v>26</v>
      </c>
      <c r="E43" s="3" t="s">
        <v>78</v>
      </c>
      <c r="F43" s="3" t="s">
        <v>54</v>
      </c>
      <c r="G43" s="3" t="s">
        <v>21</v>
      </c>
      <c r="H43" s="60">
        <v>7</v>
      </c>
      <c r="I43" s="4">
        <v>8237</v>
      </c>
      <c r="J43" s="5">
        <v>23.7</v>
      </c>
      <c r="K43" s="5">
        <v>226</v>
      </c>
      <c r="L43" s="6">
        <v>9.5399999999999991</v>
      </c>
      <c r="M43" s="5">
        <v>0</v>
      </c>
      <c r="N43" s="3"/>
      <c r="O43" s="7" t="s">
        <v>23</v>
      </c>
      <c r="P43" s="8"/>
    </row>
    <row r="44" spans="1:16" ht="17" customHeight="1" x14ac:dyDescent="0.2">
      <c r="A44" s="9">
        <v>40</v>
      </c>
      <c r="B44" s="64">
        <v>46131</v>
      </c>
      <c r="C44" s="10" t="s">
        <v>156</v>
      </c>
      <c r="D44" s="10" t="s">
        <v>29</v>
      </c>
      <c r="E44" s="10" t="s">
        <v>79</v>
      </c>
      <c r="F44" s="10" t="s">
        <v>20</v>
      </c>
      <c r="G44" s="10" t="s">
        <v>49</v>
      </c>
      <c r="H44" s="61">
        <v>13.375</v>
      </c>
      <c r="I44" s="11">
        <v>11242</v>
      </c>
      <c r="J44" s="12">
        <v>22.8</v>
      </c>
      <c r="K44" s="12">
        <v>100</v>
      </c>
      <c r="L44" s="13">
        <v>4.55</v>
      </c>
      <c r="M44" s="12">
        <v>0.8</v>
      </c>
      <c r="N44" s="10" t="s">
        <v>51</v>
      </c>
      <c r="O44" s="7" t="s">
        <v>23</v>
      </c>
      <c r="P44" s="14"/>
    </row>
    <row r="45" spans="1:16" ht="17" customHeight="1" x14ac:dyDescent="0.2">
      <c r="A45" s="2">
        <v>41</v>
      </c>
      <c r="B45" s="63">
        <v>46132</v>
      </c>
      <c r="C45" s="3" t="s">
        <v>158</v>
      </c>
      <c r="D45" s="3" t="s">
        <v>43</v>
      </c>
      <c r="E45" s="3" t="s">
        <v>80</v>
      </c>
      <c r="F45" s="3" t="s">
        <v>20</v>
      </c>
      <c r="G45" s="3" t="s">
        <v>21</v>
      </c>
      <c r="H45" s="60">
        <v>13.375</v>
      </c>
      <c r="I45" s="4">
        <v>6711</v>
      </c>
      <c r="J45" s="5">
        <v>12.2</v>
      </c>
      <c r="K45" s="5">
        <v>57</v>
      </c>
      <c r="L45" s="6">
        <v>4.67</v>
      </c>
      <c r="M45" s="5">
        <v>0</v>
      </c>
      <c r="N45" s="3"/>
      <c r="O45" s="7" t="s">
        <v>23</v>
      </c>
      <c r="P45" s="8"/>
    </row>
    <row r="46" spans="1:16" ht="17" customHeight="1" x14ac:dyDescent="0.2">
      <c r="A46" s="9">
        <v>42</v>
      </c>
      <c r="B46" s="64">
        <v>46132</v>
      </c>
      <c r="C46" s="10" t="s">
        <v>155</v>
      </c>
      <c r="D46" s="10" t="s">
        <v>26</v>
      </c>
      <c r="E46" s="10" t="s">
        <v>81</v>
      </c>
      <c r="F46" s="10" t="s">
        <v>54</v>
      </c>
      <c r="G46" s="10" t="s">
        <v>31</v>
      </c>
      <c r="H46" s="61">
        <v>5.5</v>
      </c>
      <c r="I46" s="11">
        <v>10386</v>
      </c>
      <c r="J46" s="12">
        <v>10</v>
      </c>
      <c r="K46" s="12">
        <v>102</v>
      </c>
      <c r="L46" s="13">
        <v>10.199999999999999</v>
      </c>
      <c r="M46" s="12">
        <v>0</v>
      </c>
      <c r="N46" s="10"/>
      <c r="O46" s="7" t="s">
        <v>23</v>
      </c>
      <c r="P46" s="14"/>
    </row>
    <row r="47" spans="1:16" ht="17" customHeight="1" x14ac:dyDescent="0.2">
      <c r="A47" s="2">
        <v>43</v>
      </c>
      <c r="B47" s="63">
        <v>46132</v>
      </c>
      <c r="C47" s="3" t="s">
        <v>157</v>
      </c>
      <c r="D47" s="3" t="s">
        <v>55</v>
      </c>
      <c r="E47" s="3" t="s">
        <v>82</v>
      </c>
      <c r="F47" s="3" t="s">
        <v>28</v>
      </c>
      <c r="G47" s="3" t="s">
        <v>21</v>
      </c>
      <c r="H47" s="60">
        <v>9.625</v>
      </c>
      <c r="I47" s="4">
        <v>8301</v>
      </c>
      <c r="J47" s="5">
        <v>17.5</v>
      </c>
      <c r="K47" s="5">
        <v>89</v>
      </c>
      <c r="L47" s="6">
        <v>6.22</v>
      </c>
      <c r="M47" s="5">
        <v>3.2</v>
      </c>
      <c r="N47" s="3" t="s">
        <v>58</v>
      </c>
      <c r="O47" s="7" t="s">
        <v>23</v>
      </c>
      <c r="P47" s="8"/>
    </row>
    <row r="48" spans="1:16" ht="17" customHeight="1" x14ac:dyDescent="0.2">
      <c r="A48" s="9">
        <v>44</v>
      </c>
      <c r="B48" s="64">
        <v>46133</v>
      </c>
      <c r="C48" s="10" t="s">
        <v>157</v>
      </c>
      <c r="D48" s="10" t="s">
        <v>39</v>
      </c>
      <c r="E48" s="10" t="s">
        <v>83</v>
      </c>
      <c r="F48" s="10" t="s">
        <v>35</v>
      </c>
      <c r="G48" s="10" t="s">
        <v>36</v>
      </c>
      <c r="H48" s="61">
        <v>5.5</v>
      </c>
      <c r="I48" s="11">
        <v>11074</v>
      </c>
      <c r="J48" s="12">
        <v>8.5</v>
      </c>
      <c r="K48" s="12">
        <v>90</v>
      </c>
      <c r="L48" s="13">
        <v>10.59</v>
      </c>
      <c r="M48" s="12">
        <v>0</v>
      </c>
      <c r="N48" s="10"/>
      <c r="O48" s="7" t="s">
        <v>23</v>
      </c>
      <c r="P48" s="14"/>
    </row>
    <row r="49" spans="1:16" ht="17" customHeight="1" x14ac:dyDescent="0.2">
      <c r="A49" s="2">
        <v>45</v>
      </c>
      <c r="B49" s="63">
        <v>46133</v>
      </c>
      <c r="C49" s="3" t="s">
        <v>156</v>
      </c>
      <c r="D49" s="3" t="s">
        <v>18</v>
      </c>
      <c r="E49" s="3" t="s">
        <v>84</v>
      </c>
      <c r="F49" s="3" t="s">
        <v>28</v>
      </c>
      <c r="G49" s="3" t="s">
        <v>36</v>
      </c>
      <c r="H49" s="60">
        <v>9.625</v>
      </c>
      <c r="I49" s="4">
        <v>7973</v>
      </c>
      <c r="J49" s="5">
        <v>16.600000000000001</v>
      </c>
      <c r="K49" s="5">
        <v>101</v>
      </c>
      <c r="L49" s="6">
        <v>6.08</v>
      </c>
      <c r="M49" s="5">
        <v>0</v>
      </c>
      <c r="N49" s="3"/>
      <c r="O49" s="15" t="s">
        <v>38</v>
      </c>
      <c r="P49" s="8"/>
    </row>
    <row r="50" spans="1:16" ht="17" customHeight="1" x14ac:dyDescent="0.2">
      <c r="A50" s="9">
        <v>46</v>
      </c>
      <c r="B50" s="64">
        <v>46133</v>
      </c>
      <c r="C50" s="10" t="s">
        <v>155</v>
      </c>
      <c r="D50" s="10" t="s">
        <v>43</v>
      </c>
      <c r="E50" s="10" t="s">
        <v>60</v>
      </c>
      <c r="F50" s="10" t="s">
        <v>41</v>
      </c>
      <c r="G50" s="10" t="s">
        <v>36</v>
      </c>
      <c r="H50" s="61">
        <v>4.5</v>
      </c>
      <c r="I50" s="11">
        <v>12341</v>
      </c>
      <c r="J50" s="12">
        <v>8.4</v>
      </c>
      <c r="K50" s="12">
        <v>70</v>
      </c>
      <c r="L50" s="13">
        <v>12.5</v>
      </c>
      <c r="M50" s="12">
        <v>2.8</v>
      </c>
      <c r="N50" s="10" t="s">
        <v>51</v>
      </c>
      <c r="O50" s="7" t="s">
        <v>23</v>
      </c>
      <c r="P50" s="14"/>
    </row>
    <row r="51" spans="1:16" ht="17" customHeight="1" x14ac:dyDescent="0.2">
      <c r="A51" s="2">
        <v>47</v>
      </c>
      <c r="B51" s="63">
        <v>46134</v>
      </c>
      <c r="C51" s="3" t="s">
        <v>156</v>
      </c>
      <c r="D51" s="3" t="s">
        <v>18</v>
      </c>
      <c r="E51" s="3" t="s">
        <v>85</v>
      </c>
      <c r="F51" s="3" t="s">
        <v>41</v>
      </c>
      <c r="G51" s="3" t="s">
        <v>31</v>
      </c>
      <c r="H51" s="60">
        <v>13.375</v>
      </c>
      <c r="I51" s="4">
        <v>14855</v>
      </c>
      <c r="J51" s="5">
        <v>15.9</v>
      </c>
      <c r="K51" s="5">
        <v>52</v>
      </c>
      <c r="L51" s="6">
        <v>4.2300000000000004</v>
      </c>
      <c r="M51" s="5">
        <v>3.6</v>
      </c>
      <c r="N51" s="3" t="s">
        <v>33</v>
      </c>
      <c r="O51" s="7" t="s">
        <v>23</v>
      </c>
      <c r="P51" s="8"/>
    </row>
    <row r="52" spans="1:16" ht="17" customHeight="1" x14ac:dyDescent="0.2">
      <c r="A52" s="9">
        <v>48</v>
      </c>
      <c r="B52" s="64">
        <v>46135</v>
      </c>
      <c r="C52" s="10" t="s">
        <v>156</v>
      </c>
      <c r="D52" s="10" t="s">
        <v>29</v>
      </c>
      <c r="E52" s="10" t="s">
        <v>86</v>
      </c>
      <c r="F52" s="10" t="s">
        <v>41</v>
      </c>
      <c r="G52" s="10" t="s">
        <v>31</v>
      </c>
      <c r="H52" s="61">
        <v>9.625</v>
      </c>
      <c r="I52" s="11">
        <v>6110</v>
      </c>
      <c r="J52" s="12">
        <v>8.9</v>
      </c>
      <c r="K52" s="12">
        <v>36</v>
      </c>
      <c r="L52" s="13">
        <v>6.21</v>
      </c>
      <c r="M52" s="12">
        <v>3.1</v>
      </c>
      <c r="N52" s="10" t="s">
        <v>33</v>
      </c>
      <c r="O52" s="15" t="s">
        <v>38</v>
      </c>
      <c r="P52" s="14"/>
    </row>
    <row r="53" spans="1:16" ht="17" customHeight="1" x14ac:dyDescent="0.2">
      <c r="A53" s="2">
        <v>49</v>
      </c>
      <c r="B53" s="63">
        <v>46135</v>
      </c>
      <c r="C53" s="3" t="s">
        <v>158</v>
      </c>
      <c r="D53" s="3" t="s">
        <v>18</v>
      </c>
      <c r="E53" s="3" t="s">
        <v>87</v>
      </c>
      <c r="F53" s="3" t="s">
        <v>54</v>
      </c>
      <c r="G53" s="3" t="s">
        <v>36</v>
      </c>
      <c r="H53" s="60">
        <v>7</v>
      </c>
      <c r="I53" s="4">
        <v>5814</v>
      </c>
      <c r="J53" s="5">
        <v>10.7</v>
      </c>
      <c r="K53" s="5">
        <v>96</v>
      </c>
      <c r="L53" s="6">
        <v>9.23</v>
      </c>
      <c r="M53" s="5">
        <v>0.3</v>
      </c>
      <c r="N53" s="3" t="s">
        <v>58</v>
      </c>
      <c r="O53" s="7" t="s">
        <v>23</v>
      </c>
      <c r="P53" s="8"/>
    </row>
    <row r="54" spans="1:16" ht="17" customHeight="1" x14ac:dyDescent="0.2">
      <c r="A54" s="9">
        <v>50</v>
      </c>
      <c r="B54" s="64">
        <v>46135</v>
      </c>
      <c r="C54" s="10" t="s">
        <v>155</v>
      </c>
      <c r="D54" s="10" t="s">
        <v>18</v>
      </c>
      <c r="E54" s="10" t="s">
        <v>88</v>
      </c>
      <c r="F54" s="10" t="s">
        <v>41</v>
      </c>
      <c r="G54" s="10" t="s">
        <v>36</v>
      </c>
      <c r="H54" s="61">
        <v>9.625</v>
      </c>
      <c r="I54" s="11">
        <v>7891</v>
      </c>
      <c r="J54" s="12">
        <v>14.9</v>
      </c>
      <c r="K54" s="12">
        <v>95</v>
      </c>
      <c r="L54" s="13">
        <v>6.38</v>
      </c>
      <c r="M54" s="12">
        <v>0</v>
      </c>
      <c r="N54" s="10"/>
      <c r="O54" s="7" t="s">
        <v>23</v>
      </c>
      <c r="P54" s="14"/>
    </row>
    <row r="55" spans="1:16" ht="17" customHeight="1" x14ac:dyDescent="0.2">
      <c r="A55" s="2">
        <v>51</v>
      </c>
      <c r="B55" s="63">
        <v>46136</v>
      </c>
      <c r="C55" s="3" t="s">
        <v>154</v>
      </c>
      <c r="D55" s="3" t="s">
        <v>29</v>
      </c>
      <c r="E55" s="3" t="s">
        <v>89</v>
      </c>
      <c r="F55" s="3" t="s">
        <v>28</v>
      </c>
      <c r="G55" s="3" t="s">
        <v>31</v>
      </c>
      <c r="H55" s="60">
        <v>9.625</v>
      </c>
      <c r="I55" s="4">
        <v>3071</v>
      </c>
      <c r="J55" s="5">
        <v>11</v>
      </c>
      <c r="K55" s="5">
        <v>48</v>
      </c>
      <c r="L55" s="6">
        <v>6.32</v>
      </c>
      <c r="M55" s="5">
        <v>3.4</v>
      </c>
      <c r="N55" s="3" t="s">
        <v>51</v>
      </c>
      <c r="O55" s="7" t="s">
        <v>23</v>
      </c>
      <c r="P55" s="8"/>
    </row>
    <row r="56" spans="1:16" ht="17" customHeight="1" x14ac:dyDescent="0.2">
      <c r="A56" s="9">
        <v>52</v>
      </c>
      <c r="B56" s="64">
        <v>46136</v>
      </c>
      <c r="C56" s="10" t="s">
        <v>157</v>
      </c>
      <c r="D56" s="10" t="s">
        <v>29</v>
      </c>
      <c r="E56" s="10" t="s">
        <v>90</v>
      </c>
      <c r="F56" s="10" t="s">
        <v>28</v>
      </c>
      <c r="G56" s="10" t="s">
        <v>25</v>
      </c>
      <c r="H56" s="61">
        <v>9.625</v>
      </c>
      <c r="I56" s="11">
        <v>5633</v>
      </c>
      <c r="J56" s="12">
        <v>12.7</v>
      </c>
      <c r="K56" s="12">
        <v>79</v>
      </c>
      <c r="L56" s="13">
        <v>6.22</v>
      </c>
      <c r="M56" s="12">
        <v>0</v>
      </c>
      <c r="N56" s="10"/>
      <c r="O56" s="7" t="s">
        <v>23</v>
      </c>
      <c r="P56" s="14"/>
    </row>
    <row r="57" spans="1:16" ht="17" customHeight="1" x14ac:dyDescent="0.2">
      <c r="A57" s="2">
        <v>53</v>
      </c>
      <c r="B57" s="63">
        <v>46136</v>
      </c>
      <c r="C57" s="3" t="s">
        <v>156</v>
      </c>
      <c r="D57" s="3" t="s">
        <v>29</v>
      </c>
      <c r="E57" s="3" t="s">
        <v>91</v>
      </c>
      <c r="F57" s="3" t="s">
        <v>41</v>
      </c>
      <c r="G57" s="3" t="s">
        <v>31</v>
      </c>
      <c r="H57" s="60">
        <v>5.5</v>
      </c>
      <c r="I57" s="4">
        <v>14769</v>
      </c>
      <c r="J57" s="5">
        <v>14.7</v>
      </c>
      <c r="K57" s="5">
        <v>130</v>
      </c>
      <c r="L57" s="6">
        <v>10.57</v>
      </c>
      <c r="M57" s="5">
        <v>2.4</v>
      </c>
      <c r="N57" s="3" t="s">
        <v>22</v>
      </c>
      <c r="O57" s="7" t="s">
        <v>23</v>
      </c>
      <c r="P57" s="8"/>
    </row>
    <row r="58" spans="1:16" ht="17" customHeight="1" x14ac:dyDescent="0.2">
      <c r="A58" s="9">
        <v>54</v>
      </c>
      <c r="B58" s="64">
        <v>46137</v>
      </c>
      <c r="C58" s="10" t="s">
        <v>156</v>
      </c>
      <c r="D58" s="10" t="s">
        <v>55</v>
      </c>
      <c r="E58" s="10" t="s">
        <v>92</v>
      </c>
      <c r="F58" s="10" t="s">
        <v>41</v>
      </c>
      <c r="G58" s="10" t="s">
        <v>36</v>
      </c>
      <c r="H58" s="61">
        <v>7</v>
      </c>
      <c r="I58" s="11">
        <v>7549</v>
      </c>
      <c r="J58" s="12">
        <v>8.1999999999999993</v>
      </c>
      <c r="K58" s="12">
        <v>79</v>
      </c>
      <c r="L58" s="13">
        <v>9.6300000000000008</v>
      </c>
      <c r="M58" s="12">
        <v>0</v>
      </c>
      <c r="N58" s="10"/>
      <c r="O58" s="15" t="s">
        <v>38</v>
      </c>
      <c r="P58" s="14"/>
    </row>
    <row r="59" spans="1:16" ht="17" customHeight="1" x14ac:dyDescent="0.2">
      <c r="A59" s="2">
        <v>55</v>
      </c>
      <c r="B59" s="63">
        <v>46138</v>
      </c>
      <c r="C59" s="3" t="s">
        <v>158</v>
      </c>
      <c r="D59" s="3" t="s">
        <v>39</v>
      </c>
      <c r="E59" s="3" t="s">
        <v>93</v>
      </c>
      <c r="F59" s="3" t="s">
        <v>20</v>
      </c>
      <c r="G59" s="3" t="s">
        <v>31</v>
      </c>
      <c r="H59" s="60">
        <v>4.5</v>
      </c>
      <c r="I59" s="4">
        <v>11988</v>
      </c>
      <c r="J59" s="5">
        <v>5</v>
      </c>
      <c r="K59" s="5">
        <v>55</v>
      </c>
      <c r="L59" s="6">
        <v>13.41</v>
      </c>
      <c r="M59" s="5">
        <v>0.9</v>
      </c>
      <c r="N59" s="3" t="s">
        <v>22</v>
      </c>
      <c r="O59" s="7" t="s">
        <v>23</v>
      </c>
      <c r="P59" s="8"/>
    </row>
    <row r="60" spans="1:16" ht="17" customHeight="1" x14ac:dyDescent="0.2">
      <c r="A60" s="9">
        <v>56</v>
      </c>
      <c r="B60" s="64">
        <v>46138</v>
      </c>
      <c r="C60" s="10" t="s">
        <v>155</v>
      </c>
      <c r="D60" s="10" t="s">
        <v>18</v>
      </c>
      <c r="E60" s="10" t="s">
        <v>94</v>
      </c>
      <c r="F60" s="10" t="s">
        <v>20</v>
      </c>
      <c r="G60" s="10" t="s">
        <v>49</v>
      </c>
      <c r="H60" s="61">
        <v>5.5</v>
      </c>
      <c r="I60" s="11">
        <v>5863</v>
      </c>
      <c r="J60" s="12">
        <v>13.5</v>
      </c>
      <c r="K60" s="12">
        <v>151</v>
      </c>
      <c r="L60" s="13">
        <v>11.19</v>
      </c>
      <c r="M60" s="12">
        <v>0</v>
      </c>
      <c r="N60" s="10"/>
      <c r="O60" s="7" t="s">
        <v>23</v>
      </c>
      <c r="P60" s="14"/>
    </row>
    <row r="61" spans="1:16" ht="17" customHeight="1" x14ac:dyDescent="0.2">
      <c r="A61" s="2">
        <v>57</v>
      </c>
      <c r="B61" s="63">
        <v>46139</v>
      </c>
      <c r="C61" s="3" t="s">
        <v>158</v>
      </c>
      <c r="D61" s="3" t="s">
        <v>43</v>
      </c>
      <c r="E61" s="3" t="s">
        <v>95</v>
      </c>
      <c r="F61" s="3" t="s">
        <v>41</v>
      </c>
      <c r="G61" s="3" t="s">
        <v>49</v>
      </c>
      <c r="H61" s="60">
        <v>13.375</v>
      </c>
      <c r="I61" s="4">
        <v>14565</v>
      </c>
      <c r="J61" s="5">
        <v>18.399999999999999</v>
      </c>
      <c r="K61" s="5">
        <v>75</v>
      </c>
      <c r="L61" s="6">
        <v>4.24</v>
      </c>
      <c r="M61" s="5">
        <v>0.7</v>
      </c>
      <c r="N61" s="3" t="s">
        <v>69</v>
      </c>
      <c r="O61" s="7" t="s">
        <v>23</v>
      </c>
      <c r="P61" s="8"/>
    </row>
    <row r="62" spans="1:16" ht="17" customHeight="1" x14ac:dyDescent="0.2">
      <c r="A62" s="9">
        <v>58</v>
      </c>
      <c r="B62" s="64">
        <v>46139</v>
      </c>
      <c r="C62" s="10" t="s">
        <v>158</v>
      </c>
      <c r="D62" s="10" t="s">
        <v>29</v>
      </c>
      <c r="E62" s="10" t="s">
        <v>76</v>
      </c>
      <c r="F62" s="10" t="s">
        <v>28</v>
      </c>
      <c r="G62" s="10" t="s">
        <v>31</v>
      </c>
      <c r="H62" s="61">
        <v>9.625</v>
      </c>
      <c r="I62" s="11">
        <v>14298</v>
      </c>
      <c r="J62" s="12">
        <v>8</v>
      </c>
      <c r="K62" s="12">
        <v>32</v>
      </c>
      <c r="L62" s="13">
        <v>6.81</v>
      </c>
      <c r="M62" s="12">
        <v>3.3</v>
      </c>
      <c r="N62" s="10" t="s">
        <v>58</v>
      </c>
      <c r="O62" s="7" t="s">
        <v>23</v>
      </c>
      <c r="P62" s="14"/>
    </row>
    <row r="63" spans="1:16" ht="17" customHeight="1" x14ac:dyDescent="0.2">
      <c r="A63" s="2">
        <v>59</v>
      </c>
      <c r="B63" s="63">
        <v>46140</v>
      </c>
      <c r="C63" s="3" t="s">
        <v>157</v>
      </c>
      <c r="D63" s="3" t="s">
        <v>29</v>
      </c>
      <c r="E63" s="3" t="s">
        <v>96</v>
      </c>
      <c r="F63" s="3" t="s">
        <v>20</v>
      </c>
      <c r="G63" s="3" t="s">
        <v>49</v>
      </c>
      <c r="H63" s="60">
        <v>4.5</v>
      </c>
      <c r="I63" s="4">
        <v>7166</v>
      </c>
      <c r="J63" s="5">
        <v>12.6</v>
      </c>
      <c r="K63" s="5">
        <v>155</v>
      </c>
      <c r="L63" s="6">
        <v>12.3</v>
      </c>
      <c r="M63" s="5">
        <v>0</v>
      </c>
      <c r="N63" s="3"/>
      <c r="O63" s="7" t="s">
        <v>23</v>
      </c>
      <c r="P63" s="8"/>
    </row>
    <row r="64" spans="1:16" ht="17" customHeight="1" x14ac:dyDescent="0.2">
      <c r="A64" s="9">
        <v>60</v>
      </c>
      <c r="B64" s="64">
        <v>46140</v>
      </c>
      <c r="C64" s="10" t="s">
        <v>154</v>
      </c>
      <c r="D64" s="10" t="s">
        <v>26</v>
      </c>
      <c r="E64" s="10" t="s">
        <v>97</v>
      </c>
      <c r="F64" s="10" t="s">
        <v>54</v>
      </c>
      <c r="G64" s="10" t="s">
        <v>31</v>
      </c>
      <c r="H64" s="61">
        <v>4.5</v>
      </c>
      <c r="I64" s="11">
        <v>8202</v>
      </c>
      <c r="J64" s="12">
        <v>11.2</v>
      </c>
      <c r="K64" s="12">
        <v>120</v>
      </c>
      <c r="L64" s="13">
        <v>12.77</v>
      </c>
      <c r="M64" s="12">
        <v>1.8</v>
      </c>
      <c r="N64" s="10" t="s">
        <v>58</v>
      </c>
      <c r="O64" s="15" t="s">
        <v>38</v>
      </c>
      <c r="P64" s="14"/>
    </row>
    <row r="65" spans="1:16" ht="17" customHeight="1" x14ac:dyDescent="0.2">
      <c r="A65" s="2">
        <v>61</v>
      </c>
      <c r="B65" s="63">
        <v>46141</v>
      </c>
      <c r="C65" s="3" t="s">
        <v>158</v>
      </c>
      <c r="D65" s="3" t="s">
        <v>55</v>
      </c>
      <c r="E65" s="3" t="s">
        <v>98</v>
      </c>
      <c r="F65" s="3" t="s">
        <v>28</v>
      </c>
      <c r="G65" s="3" t="s">
        <v>49</v>
      </c>
      <c r="H65" s="60">
        <v>9.625</v>
      </c>
      <c r="I65" s="4">
        <v>8578</v>
      </c>
      <c r="J65" s="5">
        <v>20.5</v>
      </c>
      <c r="K65" s="5">
        <v>135</v>
      </c>
      <c r="L65" s="6">
        <v>7.03</v>
      </c>
      <c r="M65" s="5">
        <v>1.3</v>
      </c>
      <c r="N65" s="3" t="s">
        <v>58</v>
      </c>
      <c r="O65" s="7" t="s">
        <v>23</v>
      </c>
      <c r="P65" s="8"/>
    </row>
    <row r="66" spans="1:16" ht="17" customHeight="1" x14ac:dyDescent="0.2">
      <c r="A66" s="9">
        <v>62</v>
      </c>
      <c r="B66" s="64">
        <v>46141</v>
      </c>
      <c r="C66" s="10" t="s">
        <v>155</v>
      </c>
      <c r="D66" s="10" t="s">
        <v>26</v>
      </c>
      <c r="E66" s="10" t="s">
        <v>99</v>
      </c>
      <c r="F66" s="10" t="s">
        <v>54</v>
      </c>
      <c r="G66" s="10" t="s">
        <v>49</v>
      </c>
      <c r="H66" s="61">
        <v>13.375</v>
      </c>
      <c r="I66" s="11">
        <v>11018</v>
      </c>
      <c r="J66" s="12">
        <v>10.7</v>
      </c>
      <c r="K66" s="12">
        <v>49</v>
      </c>
      <c r="L66" s="13">
        <v>4.58</v>
      </c>
      <c r="M66" s="12">
        <v>0</v>
      </c>
      <c r="N66" s="10"/>
      <c r="O66" s="7" t="s">
        <v>23</v>
      </c>
      <c r="P66" s="14"/>
    </row>
    <row r="67" spans="1:16" ht="17" customHeight="1" x14ac:dyDescent="0.2">
      <c r="A67" s="2">
        <v>63</v>
      </c>
      <c r="B67" s="63">
        <v>46141</v>
      </c>
      <c r="C67" s="3" t="s">
        <v>155</v>
      </c>
      <c r="D67" s="3" t="s">
        <v>39</v>
      </c>
      <c r="E67" s="3" t="s">
        <v>100</v>
      </c>
      <c r="F67" s="3" t="s">
        <v>35</v>
      </c>
      <c r="G67" s="3" t="s">
        <v>21</v>
      </c>
      <c r="H67" s="60">
        <v>7</v>
      </c>
      <c r="I67" s="4">
        <v>6356</v>
      </c>
      <c r="J67" s="5">
        <v>15.9</v>
      </c>
      <c r="K67" s="5">
        <v>124</v>
      </c>
      <c r="L67" s="6">
        <v>9.0500000000000007</v>
      </c>
      <c r="M67" s="5">
        <v>2.2000000000000002</v>
      </c>
      <c r="N67" s="3" t="s">
        <v>33</v>
      </c>
      <c r="O67" s="7" t="s">
        <v>23</v>
      </c>
      <c r="P67" s="8"/>
    </row>
  </sheetData>
  <mergeCells count="3">
    <mergeCell ref="A1:P1"/>
    <mergeCell ref="A3:P3"/>
    <mergeCell ref="A2:P2"/>
  </mergeCells>
  <dataValidations count="3">
    <dataValidation type="list" allowBlank="1" sqref="O5:O5000" xr:uid="{00000000-0002-0000-0000-000000000000}">
      <formula1>"FINISHED,OPEN"</formula1>
    </dataValidation>
    <dataValidation type="list" allowBlank="1" sqref="F5:F5000" xr:uid="{00000000-0002-0000-0000-000001000000}">
      <formula1>"Casing,Tubing,Combo,CDS,PULD"</formula1>
    </dataValidation>
    <dataValidation type="list" allowBlank="1" sqref="N5:N5000" xr:uid="{00000000-0002-0000-0000-000002000000}">
      <formula1>"Process,Personnel,Equipment,Weather,Client/3rd"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A2342"/>
  </sheetPr>
  <dimension ref="A1:P55"/>
  <sheetViews>
    <sheetView showGridLines="0" tabSelected="1" zoomScale="95" workbookViewId="0">
      <pane ySplit="3" topLeftCell="A4" activePane="bottomLeft" state="frozen"/>
      <selection pane="bottomLeft" activeCell="J30" sqref="J30"/>
    </sheetView>
  </sheetViews>
  <sheetFormatPr baseColWidth="10" defaultColWidth="14.1640625" defaultRowHeight="15" x14ac:dyDescent="0.2"/>
  <sheetData>
    <row r="1" spans="1:16" ht="42" customHeight="1" x14ac:dyDescent="0.2">
      <c r="A1" s="41" t="s">
        <v>107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16" ht="18" customHeight="1" x14ac:dyDescent="0.2">
      <c r="A2" s="44" t="s">
        <v>160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</row>
    <row r="3" spans="1:16" ht="12" customHeight="1" x14ac:dyDescent="0.2"/>
    <row r="4" spans="1:16" ht="5" customHeight="1" x14ac:dyDescent="0.2">
      <c r="A4" s="23"/>
      <c r="B4" s="23"/>
      <c r="C4" s="23"/>
      <c r="D4" s="23"/>
      <c r="E4" s="23"/>
      <c r="F4" s="23"/>
      <c r="G4" s="23"/>
      <c r="H4" s="23"/>
      <c r="I4" s="24"/>
      <c r="J4" s="24"/>
      <c r="K4" s="24"/>
      <c r="L4" s="24"/>
      <c r="M4" s="23"/>
      <c r="N4" s="23"/>
      <c r="O4" s="23"/>
      <c r="P4" s="23"/>
    </row>
    <row r="5" spans="1:16" ht="17" customHeight="1" x14ac:dyDescent="0.2">
      <c r="A5" s="46" t="s">
        <v>108</v>
      </c>
      <c r="B5" s="42"/>
      <c r="C5" s="42"/>
      <c r="D5" s="42"/>
      <c r="E5" s="46" t="s">
        <v>109</v>
      </c>
      <c r="F5" s="42"/>
      <c r="G5" s="42"/>
      <c r="H5" s="42"/>
      <c r="I5" s="46" t="s">
        <v>110</v>
      </c>
      <c r="J5" s="42"/>
      <c r="K5" s="42"/>
      <c r="L5" s="42"/>
      <c r="M5" s="46" t="s">
        <v>111</v>
      </c>
      <c r="N5" s="42"/>
      <c r="O5" s="42"/>
      <c r="P5" s="42"/>
    </row>
    <row r="6" spans="1:16" ht="36" customHeight="1" x14ac:dyDescent="0.2">
      <c r="A6" s="52">
        <f>SUM('📋 Daily Log'!$I$5:$I$5000)</f>
        <v>568310</v>
      </c>
      <c r="B6" s="42"/>
      <c r="C6" s="42"/>
      <c r="D6" s="42"/>
      <c r="E6" s="56">
        <f>SUMPRODUCT(('📋 Daily Log'!$C$5:$C$5000&lt;&gt;"")*1)</f>
        <v>63</v>
      </c>
      <c r="F6" s="42"/>
      <c r="G6" s="42"/>
      <c r="H6" s="42"/>
      <c r="I6" s="51">
        <f>IFERROR(SUM('📋 Daily Log'!$M$5:$M$5000)/SUM('📋 Daily Log'!$J$5:$J$5000),0)</f>
        <v>8.3949747563696109E-2</v>
      </c>
      <c r="J6" s="42"/>
      <c r="K6" s="42"/>
      <c r="L6" s="42"/>
      <c r="M6" s="52">
        <f>IFERROR(SUM('📋 Daily Log'!$I$5:$I$5000)/SUMPRODUCT(('📋 Daily Log'!$C$5:$C$5000&lt;&gt;"")*1),0)</f>
        <v>9020.7936507936502</v>
      </c>
      <c r="N6" s="42"/>
      <c r="O6" s="42"/>
      <c r="P6" s="42"/>
    </row>
    <row r="7" spans="1:16" ht="15" customHeight="1" x14ac:dyDescent="0.2">
      <c r="A7" s="48" t="s">
        <v>112</v>
      </c>
      <c r="B7" s="42"/>
      <c r="C7" s="42"/>
      <c r="D7" s="42"/>
      <c r="E7" s="48" t="str">
        <f>COUNTIF('📋 Daily Log'!$O$5:$O$5000,"FINISHED")&amp;"  finished    "&amp;COUNTIF('📋 Daily Log'!$O$5:$O$5000,"OPEN")&amp;"  open"</f>
        <v>56  finished    7  open</v>
      </c>
      <c r="F7" s="42"/>
      <c r="G7" s="42"/>
      <c r="H7" s="42"/>
      <c r="I7" s="48" t="str">
        <f>"Total NPT:  "&amp;TEXT(SUM('📋 Daily Log'!$M$5:$M$5000),"0.0")&amp;" hrs"</f>
        <v>Total NPT:  71.5 hrs</v>
      </c>
      <c r="J7" s="42"/>
      <c r="K7" s="42"/>
      <c r="L7" s="42"/>
      <c r="M7" s="48" t="s">
        <v>113</v>
      </c>
      <c r="N7" s="42"/>
      <c r="O7" s="42"/>
      <c r="P7" s="42"/>
    </row>
    <row r="8" spans="1:16" ht="6" customHeight="1" x14ac:dyDescent="0.2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</row>
    <row r="9" spans="1:16" ht="14" customHeight="1" x14ac:dyDescent="0.2"/>
    <row r="10" spans="1:16" ht="5" customHeight="1" x14ac:dyDescent="0.2">
      <c r="A10" s="23"/>
      <c r="B10" s="23"/>
      <c r="C10" s="23"/>
      <c r="D10" s="23"/>
      <c r="E10" s="26"/>
      <c r="F10" s="26"/>
      <c r="G10" s="26"/>
      <c r="H10" s="26"/>
      <c r="I10" s="23"/>
      <c r="J10" s="23"/>
      <c r="K10" s="23"/>
      <c r="L10" s="23"/>
      <c r="M10" s="23"/>
      <c r="N10" s="23"/>
      <c r="O10" s="23"/>
      <c r="P10" s="23"/>
    </row>
    <row r="11" spans="1:16" ht="17" customHeight="1" x14ac:dyDescent="0.2">
      <c r="A11" s="46" t="s">
        <v>114</v>
      </c>
      <c r="B11" s="42"/>
      <c r="C11" s="42"/>
      <c r="D11" s="42"/>
      <c r="E11" s="46" t="s">
        <v>115</v>
      </c>
      <c r="F11" s="42"/>
      <c r="G11" s="42"/>
      <c r="H11" s="42"/>
      <c r="I11" s="46" t="s">
        <v>116</v>
      </c>
      <c r="J11" s="42"/>
      <c r="K11" s="42"/>
      <c r="L11" s="42"/>
      <c r="M11" s="46" t="s">
        <v>117</v>
      </c>
      <c r="N11" s="42"/>
      <c r="O11" s="42"/>
      <c r="P11" s="42"/>
    </row>
    <row r="12" spans="1:16" ht="36" customHeight="1" x14ac:dyDescent="0.2">
      <c r="A12" s="52">
        <f>IFERROR(SUM('📋 Daily Log'!$I$5:$I$5000)/SUM('📋 Daily Log'!$J$5:$J$5000),0)</f>
        <v>667.26546906187616</v>
      </c>
      <c r="B12" s="42"/>
      <c r="C12" s="42"/>
      <c r="D12" s="42"/>
      <c r="E12" s="50">
        <f>IFERROR(COUNTIF('📋 Daily Log'!$O$5:$O$5000,"FINISHED")/SUMPRODUCT(('📋 Daily Log'!$C$5:$C$5000&lt;&gt;"")*1),0)</f>
        <v>0.88888888888888884</v>
      </c>
      <c r="F12" s="42"/>
      <c r="G12" s="42"/>
      <c r="H12" s="42"/>
      <c r="I12" s="55">
        <f>IFERROR(SUM('📋 Daily Log'!$K$5:$K$5000)/(SUM('📋 Daily Log'!$J$5:$J$5000)-SUM('📋 Daily Log'!$M$5:$M$5000)),0)</f>
        <v>8.9079723147910777</v>
      </c>
      <c r="J12" s="42"/>
      <c r="K12" s="42"/>
      <c r="L12" s="42"/>
      <c r="M12" s="56">
        <f>SUM('📋 Daily Log'!$K$5:$K$5000)</f>
        <v>6950</v>
      </c>
      <c r="N12" s="42"/>
      <c r="O12" s="42"/>
      <c r="P12" s="42"/>
    </row>
    <row r="13" spans="1:16" ht="15" customHeight="1" x14ac:dyDescent="0.2">
      <c r="A13" s="48" t="s">
        <v>118</v>
      </c>
      <c r="B13" s="42"/>
      <c r="C13" s="42"/>
      <c r="D13" s="42"/>
      <c r="E13" s="48" t="str">
        <f>COUNTIF('📋 Daily Log'!$O$5:$O$5000,"FINISHED")&amp;" of "&amp;SUMPRODUCT(('📋 Daily Log'!$C$5:$C$5000&lt;&gt;"")*1)&amp;" jobs closed"</f>
        <v>56 of 63 jobs closed</v>
      </c>
      <c r="F13" s="42"/>
      <c r="G13" s="42"/>
      <c r="H13" s="42"/>
      <c r="I13" s="48" t="str">
        <f>"Based on "&amp;TEXT(SUM('📋 Daily Log'!$J$5:$J$5000)-SUM('📋 Daily Log'!$M$5:$M$5000),"0.0")&amp;" productive hrs"</f>
        <v>Based on 780.2 productive hrs</v>
      </c>
      <c r="J13" s="42"/>
      <c r="K13" s="42"/>
      <c r="L13" s="42"/>
      <c r="M13" s="48" t="s">
        <v>119</v>
      </c>
      <c r="N13" s="42"/>
      <c r="O13" s="42"/>
      <c r="P13" s="42"/>
    </row>
    <row r="14" spans="1:16" ht="6" customHeight="1" x14ac:dyDescent="0.2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</row>
    <row r="15" spans="1:16" ht="14" customHeight="1" x14ac:dyDescent="0.2"/>
    <row r="16" spans="1:16" ht="5" customHeight="1" x14ac:dyDescent="0.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4"/>
      <c r="N16" s="24"/>
      <c r="O16" s="24"/>
      <c r="P16" s="24"/>
    </row>
    <row r="17" spans="1:16" ht="17" customHeight="1" x14ac:dyDescent="0.2">
      <c r="A17" s="46" t="s">
        <v>120</v>
      </c>
      <c r="B17" s="42"/>
      <c r="C17" s="42"/>
      <c r="D17" s="42"/>
      <c r="E17" s="46" t="s">
        <v>121</v>
      </c>
      <c r="F17" s="42"/>
      <c r="G17" s="42"/>
      <c r="H17" s="42"/>
      <c r="I17" s="46" t="s">
        <v>122</v>
      </c>
      <c r="J17" s="42"/>
      <c r="K17" s="42"/>
      <c r="L17" s="42"/>
      <c r="M17" s="46" t="s">
        <v>123</v>
      </c>
      <c r="N17" s="42"/>
      <c r="O17" s="42"/>
      <c r="P17" s="42"/>
    </row>
    <row r="18" spans="1:16" ht="36" customHeight="1" x14ac:dyDescent="0.2">
      <c r="A18" s="53">
        <f>IFERROR(SUM('📋 Daily Log'!$K$5:$K$5000)/SUMPRODUCT(('📋 Daily Log'!$C$5:$C$5000&lt;&gt;"")*1),0)</f>
        <v>110.31746031746032</v>
      </c>
      <c r="B18" s="42"/>
      <c r="C18" s="42"/>
      <c r="D18" s="42"/>
      <c r="E18" s="49">
        <f>IFERROR(SUM('📋 Daily Log'!$J$5:$J$5000)/SUMPRODUCT(('📋 Daily Log'!$C$5:$C$5000&lt;&gt;"")*1),0)</f>
        <v>13.519047619047621</v>
      </c>
      <c r="F18" s="42"/>
      <c r="G18" s="42"/>
      <c r="H18" s="42"/>
      <c r="I18" s="54">
        <f>IFERROR(SUMPRODUCT(('📋 Daily Log'!$C$5:$C$5000&lt;&gt;"")*1)/SUM('📋 Daily Log'!$J$5:$J$5000),0)</f>
        <v>7.3969707643536442E-2</v>
      </c>
      <c r="J18" s="42"/>
      <c r="K18" s="42"/>
      <c r="L18" s="42"/>
      <c r="M18" s="51">
        <f>IFERROR(SUMPRODUCT(('📋 Daily Log'!$M$5:$M$5000&gt;0)*1)/SUMPRODUCT(('📋 Daily Log'!$C$5:$C$5000&lt;&gt;"")*1),0)</f>
        <v>0.49206349206349204</v>
      </c>
      <c r="N18" s="42"/>
      <c r="O18" s="42"/>
      <c r="P18" s="42"/>
    </row>
    <row r="19" spans="1:16" ht="15" customHeight="1" x14ac:dyDescent="0.2">
      <c r="A19" s="48" t="str">
        <f>SUMPRODUCT(('📋 Daily Log'!$C$5:$C$5000&lt;&gt;"")*1)&amp;" total jobs recorded"</f>
        <v>63 total jobs recorded</v>
      </c>
      <c r="B19" s="42"/>
      <c r="C19" s="42"/>
      <c r="D19" s="42"/>
      <c r="E19" s="48" t="s">
        <v>124</v>
      </c>
      <c r="F19" s="42"/>
      <c r="G19" s="42"/>
      <c r="H19" s="42"/>
      <c r="I19" s="48" t="e">
        <f>"1 job every "&amp;TEXT(IFERROR(SUM('📋 Daily Log'!$J$5:$J$5000)/SUMPRODUCT(('📋 Daily Log'!$C$5:$C$5000&lt;&gt;"")*1),0),"0.0 hrs avg")</f>
        <v>#VALUE!</v>
      </c>
      <c r="J19" s="42"/>
      <c r="K19" s="42"/>
      <c r="L19" s="42"/>
      <c r="M19" s="48" t="str">
        <f>SUMPRODUCT(('📋 Daily Log'!$M$5:$M$5000&gt;0)*1)&amp;" of "&amp;SUMPRODUCT(('📋 Daily Log'!$C$5:$C$5000&lt;&gt;"")*1)&amp;" jobs had NPT"</f>
        <v>31 of 63 jobs had NPT</v>
      </c>
      <c r="N19" s="42"/>
      <c r="O19" s="42"/>
      <c r="P19" s="42"/>
    </row>
    <row r="20" spans="1:16" ht="6" customHeight="1" x14ac:dyDescent="0.2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</row>
    <row r="21" spans="1:16" ht="14" customHeight="1" x14ac:dyDescent="0.2"/>
    <row r="22" spans="1:16" ht="22" customHeight="1" x14ac:dyDescent="0.2">
      <c r="A22" s="47" t="s">
        <v>125</v>
      </c>
      <c r="B22" s="42"/>
      <c r="C22" s="42"/>
      <c r="D22" s="42"/>
      <c r="E22" s="42"/>
      <c r="F22" s="42"/>
      <c r="G22" s="42"/>
      <c r="H22" s="42"/>
    </row>
    <row r="23" spans="1:16" ht="18" customHeight="1" x14ac:dyDescent="0.2">
      <c r="A23" s="27" t="s">
        <v>126</v>
      </c>
      <c r="B23" s="27" t="s">
        <v>103</v>
      </c>
      <c r="C23" s="27" t="s">
        <v>127</v>
      </c>
      <c r="D23" s="27" t="s">
        <v>128</v>
      </c>
      <c r="E23" s="27" t="s">
        <v>12</v>
      </c>
      <c r="F23" s="27" t="s">
        <v>129</v>
      </c>
      <c r="G23" s="27" t="s">
        <v>14</v>
      </c>
      <c r="H23" s="27" t="s">
        <v>130</v>
      </c>
    </row>
    <row r="24" spans="1:16" ht="17" customHeight="1" x14ac:dyDescent="0.2">
      <c r="A24" s="28" t="s">
        <v>155</v>
      </c>
      <c r="B24" s="20" cm="1">
        <f t="array" ref="B24">SUMPRODUCT(('📋 Daily Log'!$C$5:$C$5000="C")*1)</f>
        <v>13</v>
      </c>
      <c r="C24" s="21" cm="1">
        <f t="array" ref="C24">SUMPRODUCT(('📋 Daily Log'!$C$5:$C$5000="C")*('📋 Daily Log'!$I$5:$I$5000))</f>
        <v>132321</v>
      </c>
      <c r="D24" s="21" cm="1">
        <f t="array" ref="D24">IFERROR(SUMPRODUCT(('📋 Daily Log'!$C$5:$C$5000="C")*('📋 Daily Log'!$I$5:$I$5000))/SUMPRODUCT(('📋 Daily Log'!$C$5:$C$5000="C")*1),0)</f>
        <v>10178.538461538461</v>
      </c>
      <c r="E24" s="20" cm="1">
        <f t="array" ref="E24">SUMPRODUCT(('📋 Daily Log'!$C$5:$C$5000="C")*('📋 Daily Log'!$K$5:$K$5000))</f>
        <v>1105</v>
      </c>
      <c r="F24" s="5" cm="1">
        <f t="array" ref="F24">IFERROR(SUMPRODUCT(('📋 Daily Log'!$C$5:$C$5000="C")*('📋 Daily Log'!$K$5:$K$5000))/(SUMPRODUCT(('📋 Daily Log'!$C$5:$C$5000="C")*('📋 Daily Log'!$J$5:$J$5000))-SUMPRODUCT(('📋 Daily Log'!$C$5:$C$5000="C")*('📋 Daily Log'!$M$5:$M$5000))),0)</f>
        <v>7.8480113636363633</v>
      </c>
      <c r="G24" s="5" cm="1">
        <f t="array" ref="G24">SUMPRODUCT(('📋 Daily Log'!$C$5:$C$5000="C")*('📋 Daily Log'!$M$5:$M$5000))</f>
        <v>16.2</v>
      </c>
      <c r="H24" s="22" cm="1">
        <f t="array" ref="H24">IFERROR(SUMPRODUCT(('📋 Daily Log'!$C$5:$C$5000="C")*('📋 Daily Log'!$M$5:$M$5000))/SUMPRODUCT(('📋 Daily Log'!$C$5:$C$5000="C")*('📋 Daily Log'!$J$5:$J$5000)),0)</f>
        <v>0.10318471337579617</v>
      </c>
    </row>
    <row r="25" spans="1:16" ht="17" customHeight="1" x14ac:dyDescent="0.2">
      <c r="A25" s="29" t="s">
        <v>154</v>
      </c>
      <c r="B25" s="30" cm="1">
        <f t="array" ref="B25">SUMPRODUCT(('📋 Daily Log'!$C$5:$C$5000="B")*1)</f>
        <v>14</v>
      </c>
      <c r="C25" s="31" cm="1">
        <f t="array" ref="C25">SUMPRODUCT(('📋 Daily Log'!$C$5:$C$5000="B")*('📋 Daily Log'!$I$5:$I$5000))</f>
        <v>130478</v>
      </c>
      <c r="D25" s="31" cm="1">
        <f t="array" ref="D25">IFERROR(SUMPRODUCT(('📋 Daily Log'!$C$5:$C$5000="B")*('📋 Daily Log'!$I$5:$I$5000))/SUMPRODUCT(('📋 Daily Log'!$C$5:$C$5000="B")*1),0)</f>
        <v>9319.8571428571431</v>
      </c>
      <c r="E25" s="30" cm="1">
        <f t="array" ref="E25">SUMPRODUCT(('📋 Daily Log'!$C$5:$C$5000="B")*('📋 Daily Log'!$K$5:$K$5000))</f>
        <v>1807</v>
      </c>
      <c r="F25" s="32" cm="1">
        <f t="array" ref="F25">IFERROR(SUMPRODUCT(('📋 Daily Log'!$C$5:$C$5000="B")*('📋 Daily Log'!$K$5:$K$5000))/(SUMPRODUCT(('📋 Daily Log'!$C$5:$C$5000="B")*('📋 Daily Log'!$J$5:$J$5000))-SUMPRODUCT(('📋 Daily Log'!$C$5:$C$5000="B")*('📋 Daily Log'!$M$5:$M$5000))),0)</f>
        <v>9.4458964976476736</v>
      </c>
      <c r="G25" s="32" cm="1">
        <f t="array" ref="G25">SUMPRODUCT(('📋 Daily Log'!$C$5:$C$5000="B")*('📋 Daily Log'!$M$5:$M$5000))</f>
        <v>14.599999999999998</v>
      </c>
      <c r="H25" s="33" cm="1">
        <f t="array" ref="H25">IFERROR(SUMPRODUCT(('📋 Daily Log'!$C$5:$C$5000="B")*('📋 Daily Log'!$M$5:$M$5000))/SUMPRODUCT(('📋 Daily Log'!$C$5:$C$5000="B")*('📋 Daily Log'!$J$5:$J$5000)),0)</f>
        <v>7.0908207867897019E-2</v>
      </c>
    </row>
    <row r="26" spans="1:16" ht="17" customHeight="1" x14ac:dyDescent="0.2">
      <c r="A26" s="28" t="s">
        <v>156</v>
      </c>
      <c r="B26" s="20" cm="1">
        <f t="array" ref="B26">SUMPRODUCT(('📋 Daily Log'!$C$5:$C$5000="E")*1)</f>
        <v>13</v>
      </c>
      <c r="C26" s="21" cm="1">
        <f t="array" ref="C26">SUMPRODUCT(('📋 Daily Log'!$C$5:$C$5000="E")*('📋 Daily Log'!$I$5:$I$5000))</f>
        <v>121079</v>
      </c>
      <c r="D26" s="21" cm="1">
        <f t="array" ref="D26">IFERROR(SUMPRODUCT(('📋 Daily Log'!$C$5:$C$5000="E")*('📋 Daily Log'!$I$5:$I$5000))/SUMPRODUCT(('📋 Daily Log'!$C$5:$C$5000="E")*1),0)</f>
        <v>9313.7692307692305</v>
      </c>
      <c r="E26" s="20" cm="1">
        <f t="array" ref="E26">SUMPRODUCT(('📋 Daily Log'!$C$5:$C$5000="E")*('📋 Daily Log'!$K$5:$K$5000))</f>
        <v>1175</v>
      </c>
      <c r="F26" s="5" cm="1">
        <f t="array" ref="F26">IFERROR(SUMPRODUCT(('📋 Daily Log'!$C$5:$C$5000="E")*('📋 Daily Log'!$K$5:$K$5000))/(SUMPRODUCT(('📋 Daily Log'!$C$5:$C$5000="E")*('📋 Daily Log'!$J$5:$J$5000))-SUMPRODUCT(('📋 Daily Log'!$C$5:$C$5000="E")*('📋 Daily Log'!$M$5:$M$5000))),0)</f>
        <v>8.0424366872005475</v>
      </c>
      <c r="G26" s="5" cm="1">
        <f t="array" ref="G26">SUMPRODUCT(('📋 Daily Log'!$C$5:$C$5000="E")*('📋 Daily Log'!$M$5:$M$5000))</f>
        <v>11</v>
      </c>
      <c r="H26" s="22" cm="1">
        <f t="array" ref="H26">IFERROR(SUMPRODUCT(('📋 Daily Log'!$C$5:$C$5000="E")*('📋 Daily Log'!$M$5:$M$5000))/SUMPRODUCT(('📋 Daily Log'!$C$5:$C$5000="E")*('📋 Daily Log'!$J$5:$J$5000)),0)</f>
        <v>7.0019096117122856E-2</v>
      </c>
    </row>
    <row r="27" spans="1:16" ht="17" customHeight="1" x14ac:dyDescent="0.2">
      <c r="A27" s="29" t="s">
        <v>157</v>
      </c>
      <c r="B27" s="30" cm="1">
        <f t="array" ref="B27">SUMPRODUCT(('📋 Daily Log'!$C$5:$C$5000="D")*1)</f>
        <v>12</v>
      </c>
      <c r="C27" s="31" cm="1">
        <f t="array" ref="C27">SUMPRODUCT(('📋 Daily Log'!$C$5:$C$5000="D")*('📋 Daily Log'!$I$5:$I$5000))</f>
        <v>97310</v>
      </c>
      <c r="D27" s="31" cm="1">
        <f t="array" ref="D27">IFERROR(SUMPRODUCT(('📋 Daily Log'!$C$5:$C$5000="D")*('📋 Daily Log'!$I$5:$I$5000))/SUMPRODUCT(('📋 Daily Log'!$C$5:$C$5000="D")*1),0)</f>
        <v>8109.166666666667</v>
      </c>
      <c r="E27" s="30" cm="1">
        <f t="array" ref="E27">SUMPRODUCT(('📋 Daily Log'!$C$5:$C$5000="D")*('📋 Daily Log'!$K$5:$K$5000))</f>
        <v>1540</v>
      </c>
      <c r="F27" s="32" cm="1">
        <f t="array" ref="F27">IFERROR(SUMPRODUCT(('📋 Daily Log'!$C$5:$C$5000="D")*('📋 Daily Log'!$K$5:$K$5000))/(SUMPRODUCT(('📋 Daily Log'!$C$5:$C$5000="D")*('📋 Daily Log'!$J$5:$J$5000))-SUMPRODUCT(('📋 Daily Log'!$C$5:$C$5000="D")*('📋 Daily Log'!$M$5:$M$5000))),0)</f>
        <v>9.8528470889315418</v>
      </c>
      <c r="G27" s="32" cm="1">
        <f t="array" ref="G27">SUMPRODUCT(('📋 Daily Log'!$C$5:$C$5000="D")*('📋 Daily Log'!$M$5:$M$5000))</f>
        <v>12.399999999999999</v>
      </c>
      <c r="H27" s="33" cm="1">
        <f t="array" ref="H27">IFERROR(SUMPRODUCT(('📋 Daily Log'!$C$5:$C$5000="D")*('📋 Daily Log'!$M$5:$M$5000))/SUMPRODUCT(('📋 Daily Log'!$C$5:$C$5000="D")*('📋 Daily Log'!$J$5:$J$5000)),0)</f>
        <v>7.3503260225251915E-2</v>
      </c>
    </row>
    <row r="28" spans="1:16" ht="17" customHeight="1" x14ac:dyDescent="0.2">
      <c r="A28" s="28" t="s">
        <v>154</v>
      </c>
      <c r="B28" s="20" cm="1">
        <f t="array" ref="B28">SUMPRODUCT(('📋 Daily Log'!$C$5:$C$5000="A")*1)</f>
        <v>11</v>
      </c>
      <c r="C28" s="21" cm="1">
        <f t="array" ref="C28">SUMPRODUCT(('📋 Daily Log'!$C$5:$C$5000="A")*('📋 Daily Log'!$I$5:$I$5000))</f>
        <v>87122</v>
      </c>
      <c r="D28" s="21" cm="1">
        <f t="array" ref="D28">IFERROR(SUMPRODUCT(('📋 Daily Log'!$C$5:$C$5000="A")*('📋 Daily Log'!$I$5:$I$5000))/SUMPRODUCT(('📋 Daily Log'!$C$5:$C$5000="A")*1),0)</f>
        <v>7920.181818181818</v>
      </c>
      <c r="E28" s="20" cm="1">
        <f t="array" ref="E28">SUMPRODUCT(('📋 Daily Log'!$C$5:$C$5000="A")*('📋 Daily Log'!$K$5:$K$5000))</f>
        <v>1323</v>
      </c>
      <c r="F28" s="5" cm="1">
        <f t="array" ref="F28">IFERROR(SUMPRODUCT(('📋 Daily Log'!$C$5:$C$5000="A")*('📋 Daily Log'!$K$5:$K$5000))/(SUMPRODUCT(('📋 Daily Log'!$C$5:$C$5000="A")*('📋 Daily Log'!$J$5:$J$5000))-SUMPRODUCT(('📋 Daily Log'!$C$5:$C$5000="A")*('📋 Daily Log'!$M$5:$M$5000))),0)</f>
        <v>9.0803019903912148</v>
      </c>
      <c r="G28" s="5" cm="1">
        <f t="array" ref="G28">SUMPRODUCT(('📋 Daily Log'!$C$5:$C$5000="A")*('📋 Daily Log'!$M$5:$M$5000))</f>
        <v>17.3</v>
      </c>
      <c r="H28" s="22" cm="1">
        <f t="array" ref="H28">IFERROR(SUMPRODUCT(('📋 Daily Log'!$C$5:$C$5000="A")*('📋 Daily Log'!$M$5:$M$5000))/SUMPRODUCT(('📋 Daily Log'!$C$5:$C$5000="A")*('📋 Daily Log'!$J$5:$J$5000)),0)</f>
        <v>0.10613496932515337</v>
      </c>
    </row>
    <row r="30" spans="1:16" ht="22" customHeight="1" x14ac:dyDescent="0.2">
      <c r="A30" s="47" t="s">
        <v>131</v>
      </c>
      <c r="B30" s="42"/>
      <c r="C30" s="42"/>
      <c r="D30" s="42"/>
      <c r="E30" s="42"/>
      <c r="F30" s="42"/>
      <c r="G30" s="42"/>
      <c r="H30" s="42"/>
    </row>
    <row r="31" spans="1:16" ht="18" customHeight="1" x14ac:dyDescent="0.2">
      <c r="A31" s="27" t="s">
        <v>126</v>
      </c>
      <c r="B31" s="27" t="s">
        <v>103</v>
      </c>
      <c r="C31" s="27" t="s">
        <v>127</v>
      </c>
      <c r="D31" s="27" t="s">
        <v>128</v>
      </c>
      <c r="E31" s="27" t="s">
        <v>12</v>
      </c>
      <c r="F31" s="27" t="s">
        <v>129</v>
      </c>
      <c r="G31" s="27" t="s">
        <v>14</v>
      </c>
      <c r="H31" s="27" t="s">
        <v>130</v>
      </c>
    </row>
    <row r="32" spans="1:16" ht="17" customHeight="1" x14ac:dyDescent="0.2">
      <c r="A32" s="28" t="s">
        <v>39</v>
      </c>
      <c r="B32" s="20">
        <f>SUMPRODUCT(('📋 Daily Log'!$D$5:$D$5000="RIG-01")*1)</f>
        <v>9</v>
      </c>
      <c r="C32" s="21">
        <f>SUMPRODUCT(('📋 Daily Log'!$D$5:$D$5000="RIG-01")*('📋 Daily Log'!$I$5:$I$5000))</f>
        <v>73374</v>
      </c>
      <c r="D32" s="21">
        <f>IFERROR(SUMPRODUCT(('📋 Daily Log'!$D$5:$D$5000="RIG-01")*('📋 Daily Log'!$I$5:$I$5000))/SUMPRODUCT(('📋 Daily Log'!$D$5:$D$5000="RIG-01")*1),0)</f>
        <v>8152.666666666667</v>
      </c>
      <c r="E32" s="20">
        <f>SUMPRODUCT(('📋 Daily Log'!$D$5:$D$5000="RIG-01")*('📋 Daily Log'!$K$5:$K$5000))</f>
        <v>952</v>
      </c>
      <c r="F32" s="5">
        <f>IFERROR(SUMPRODUCT(('📋 Daily Log'!$D$5:$D$5000="RIG-01")*('📋 Daily Log'!$K$5:$K$5000))/(SUMPRODUCT(('📋 Daily Log'!$D$5:$D$5000="RIG-01")*('📋 Daily Log'!$J$5:$J$5000))-SUMPRODUCT(('📋 Daily Log'!$D$5:$D$5000="RIG-01")*('📋 Daily Log'!$M$5:$M$5000))),0)</f>
        <v>10.404371584699453</v>
      </c>
      <c r="G32" s="5">
        <f>SUMPRODUCT(('📋 Daily Log'!$D$5:$D$5000="RIG-01")*('📋 Daily Log'!$M$5:$M$5000))</f>
        <v>6.6000000000000005</v>
      </c>
      <c r="H32" s="22">
        <f>IFERROR(SUMPRODUCT(('📋 Daily Log'!$D$5:$D$5000="RIG-01")*('📋 Daily Log'!$M$5:$M$5000))/SUMPRODUCT(('📋 Daily Log'!$D$5:$D$5000="RIG-01")*('📋 Daily Log'!$J$5:$J$5000)),0)</f>
        <v>6.7278287461773709E-2</v>
      </c>
    </row>
    <row r="33" spans="1:8" ht="17" customHeight="1" x14ac:dyDescent="0.2">
      <c r="A33" s="29" t="s">
        <v>26</v>
      </c>
      <c r="B33" s="30">
        <f>SUMPRODUCT(('📋 Daily Log'!$D$5:$D$5000="RIG-02")*1)</f>
        <v>11</v>
      </c>
      <c r="C33" s="31">
        <f>SUMPRODUCT(('📋 Daily Log'!$D$5:$D$5000="RIG-02")*('📋 Daily Log'!$I$5:$I$5000))</f>
        <v>113105</v>
      </c>
      <c r="D33" s="31">
        <f>IFERROR(SUMPRODUCT(('📋 Daily Log'!$D$5:$D$5000="RIG-02")*('📋 Daily Log'!$I$5:$I$5000))/SUMPRODUCT(('📋 Daily Log'!$D$5:$D$5000="RIG-02")*1),0)</f>
        <v>10282.272727272728</v>
      </c>
      <c r="E33" s="30">
        <f>SUMPRODUCT(('📋 Daily Log'!$D$5:$D$5000="RIG-02")*('📋 Daily Log'!$K$5:$K$5000))</f>
        <v>1371</v>
      </c>
      <c r="F33" s="32">
        <f>IFERROR(SUMPRODUCT(('📋 Daily Log'!$D$5:$D$5000="RIG-02")*('📋 Daily Log'!$K$5:$K$5000))/(SUMPRODUCT(('📋 Daily Log'!$D$5:$D$5000="RIG-02")*('📋 Daily Log'!$J$5:$J$5000))-SUMPRODUCT(('📋 Daily Log'!$D$5:$D$5000="RIG-02")*('📋 Daily Log'!$M$5:$M$5000))),0)</f>
        <v>9.5076282940360617</v>
      </c>
      <c r="G33" s="32">
        <f>SUMPRODUCT(('📋 Daily Log'!$D$5:$D$5000="RIG-02")*('📋 Daily Log'!$M$5:$M$5000))</f>
        <v>9</v>
      </c>
      <c r="H33" s="33">
        <f>IFERROR(SUMPRODUCT(('📋 Daily Log'!$D$5:$D$5000="RIG-02")*('📋 Daily Log'!$M$5:$M$5000))/SUMPRODUCT(('📋 Daily Log'!$D$5:$D$5000="RIG-02")*('📋 Daily Log'!$J$5:$J$5000)),0)</f>
        <v>5.87467362924282E-2</v>
      </c>
    </row>
    <row r="34" spans="1:8" ht="17" customHeight="1" x14ac:dyDescent="0.2">
      <c r="A34" s="28" t="s">
        <v>55</v>
      </c>
      <c r="B34" s="20">
        <f>SUMPRODUCT(('📋 Daily Log'!$D$5:$D$5000="RIG-03")*1)</f>
        <v>6</v>
      </c>
      <c r="C34" s="21">
        <f>SUMPRODUCT(('📋 Daily Log'!$D$5:$D$5000="RIG-03")*('📋 Daily Log'!$I$5:$I$5000))</f>
        <v>52867</v>
      </c>
      <c r="D34" s="21">
        <f>IFERROR(SUMPRODUCT(('📋 Daily Log'!$D$5:$D$5000="RIG-03")*('📋 Daily Log'!$I$5:$I$5000))/SUMPRODUCT(('📋 Daily Log'!$D$5:$D$5000="RIG-03")*1),0)</f>
        <v>8811.1666666666661</v>
      </c>
      <c r="E34" s="20">
        <f>SUMPRODUCT(('📋 Daily Log'!$D$5:$D$5000="RIG-03")*('📋 Daily Log'!$K$5:$K$5000))</f>
        <v>427</v>
      </c>
      <c r="F34" s="5">
        <f>IFERROR(SUMPRODUCT(('📋 Daily Log'!$D$5:$D$5000="RIG-03")*('📋 Daily Log'!$K$5:$K$5000))/(SUMPRODUCT(('📋 Daily Log'!$D$5:$D$5000="RIG-03")*('📋 Daily Log'!$J$5:$J$5000))-SUMPRODUCT(('📋 Daily Log'!$D$5:$D$5000="RIG-03")*('📋 Daily Log'!$M$5:$M$5000))),0)</f>
        <v>7.6114081996434937</v>
      </c>
      <c r="G34" s="5">
        <f>SUMPRODUCT(('📋 Daily Log'!$D$5:$D$5000="RIG-03")*('📋 Daily Log'!$M$5:$M$5000))</f>
        <v>8.1000000000000014</v>
      </c>
      <c r="H34" s="22">
        <f>IFERROR(SUMPRODUCT(('📋 Daily Log'!$D$5:$D$5000="RIG-03")*('📋 Daily Log'!$M$5:$M$5000))/SUMPRODUCT(('📋 Daily Log'!$D$5:$D$5000="RIG-03")*('📋 Daily Log'!$J$5:$J$5000)),0)</f>
        <v>0.12616822429906543</v>
      </c>
    </row>
    <row r="35" spans="1:8" ht="17" customHeight="1" x14ac:dyDescent="0.2">
      <c r="A35" s="29" t="s">
        <v>18</v>
      </c>
      <c r="B35" s="30">
        <f>SUMPRODUCT(('📋 Daily Log'!$D$5:$D$5000="RIG-04")*1)</f>
        <v>14</v>
      </c>
      <c r="C35" s="31">
        <f>SUMPRODUCT(('📋 Daily Log'!$D$5:$D$5000="RIG-04")*('📋 Daily Log'!$I$5:$I$5000))</f>
        <v>122013</v>
      </c>
      <c r="D35" s="31">
        <f>IFERROR(SUMPRODUCT(('📋 Daily Log'!$D$5:$D$5000="RIG-04")*('📋 Daily Log'!$I$5:$I$5000))/SUMPRODUCT(('📋 Daily Log'!$D$5:$D$5000="RIG-04")*1),0)</f>
        <v>8715.2142857142862</v>
      </c>
      <c r="E35" s="30">
        <f>SUMPRODUCT(('📋 Daily Log'!$D$5:$D$5000="RIG-04")*('📋 Daily Log'!$K$5:$K$5000))</f>
        <v>1748</v>
      </c>
      <c r="F35" s="32">
        <f>IFERROR(SUMPRODUCT(('📋 Daily Log'!$D$5:$D$5000="RIG-04")*('📋 Daily Log'!$K$5:$K$5000))/(SUMPRODUCT(('📋 Daily Log'!$D$5:$D$5000="RIG-04")*('📋 Daily Log'!$J$5:$J$5000))-SUMPRODUCT(('📋 Daily Log'!$D$5:$D$5000="RIG-04")*('📋 Daily Log'!$M$5:$M$5000))),0)</f>
        <v>8.7662988966900706</v>
      </c>
      <c r="G35" s="32">
        <f>SUMPRODUCT(('📋 Daily Log'!$D$5:$D$5000="RIG-04")*('📋 Daily Log'!$M$5:$M$5000))</f>
        <v>13.400000000000002</v>
      </c>
      <c r="H35" s="33">
        <f>IFERROR(SUMPRODUCT(('📋 Daily Log'!$D$5:$D$5000="RIG-04")*('📋 Daily Log'!$M$5:$M$5000))/SUMPRODUCT(('📋 Daily Log'!$D$5:$D$5000="RIG-04")*('📋 Daily Log'!$J$5:$J$5000)),0)</f>
        <v>6.2969924812030093E-2</v>
      </c>
    </row>
    <row r="36" spans="1:8" ht="17" customHeight="1" x14ac:dyDescent="0.2">
      <c r="A36" s="28" t="s">
        <v>43</v>
      </c>
      <c r="B36" s="20">
        <f>SUMPRODUCT(('📋 Daily Log'!$D$5:$D$5000="RIG-05")*1)</f>
        <v>10</v>
      </c>
      <c r="C36" s="21">
        <f>SUMPRODUCT(('📋 Daily Log'!$D$5:$D$5000="RIG-05")*('📋 Daily Log'!$I$5:$I$5000))</f>
        <v>89768</v>
      </c>
      <c r="D36" s="21">
        <f>IFERROR(SUMPRODUCT(('📋 Daily Log'!$D$5:$D$5000="RIG-05")*('📋 Daily Log'!$I$5:$I$5000))/SUMPRODUCT(('📋 Daily Log'!$D$5:$D$5000="RIG-05")*1),0)</f>
        <v>8976.7999999999993</v>
      </c>
      <c r="E36" s="20">
        <f>SUMPRODUCT(('📋 Daily Log'!$D$5:$D$5000="RIG-05")*('📋 Daily Log'!$K$5:$K$5000))</f>
        <v>1157</v>
      </c>
      <c r="F36" s="5">
        <f>IFERROR(SUMPRODUCT(('📋 Daily Log'!$D$5:$D$5000="RIG-05")*('📋 Daily Log'!$K$5:$K$5000))/(SUMPRODUCT(('📋 Daily Log'!$D$5:$D$5000="RIG-05")*('📋 Daily Log'!$J$5:$J$5000))-SUMPRODUCT(('📋 Daily Log'!$D$5:$D$5000="RIG-05")*('📋 Daily Log'!$M$5:$M$5000))),0)</f>
        <v>7.8440677966101697</v>
      </c>
      <c r="G36" s="5">
        <f>SUMPRODUCT(('📋 Daily Log'!$D$5:$D$5000="RIG-05")*('📋 Daily Log'!$M$5:$M$5000))</f>
        <v>8</v>
      </c>
      <c r="H36" s="22">
        <f>IFERROR(SUMPRODUCT(('📋 Daily Log'!$D$5:$D$5000="RIG-05")*('📋 Daily Log'!$M$5:$M$5000))/SUMPRODUCT(('📋 Daily Log'!$D$5:$D$5000="RIG-05")*('📋 Daily Log'!$J$5:$J$5000)),0)</f>
        <v>5.1446945337620578E-2</v>
      </c>
    </row>
    <row r="37" spans="1:8" ht="17" customHeight="1" x14ac:dyDescent="0.2">
      <c r="A37" s="29" t="s">
        <v>29</v>
      </c>
      <c r="B37" s="30">
        <f>SUMPRODUCT(('📋 Daily Log'!$D$5:$D$5000="RIG-06")*1)</f>
        <v>13</v>
      </c>
      <c r="C37" s="31">
        <f>SUMPRODUCT(('📋 Daily Log'!$D$5:$D$5000="RIG-06")*('📋 Daily Log'!$I$5:$I$5000))</f>
        <v>117183</v>
      </c>
      <c r="D37" s="31">
        <f>IFERROR(SUMPRODUCT(('📋 Daily Log'!$D$5:$D$5000="RIG-06")*('📋 Daily Log'!$I$5:$I$5000))/SUMPRODUCT(('📋 Daily Log'!$D$5:$D$5000="RIG-06")*1),0)</f>
        <v>9014.0769230769238</v>
      </c>
      <c r="E37" s="30">
        <f>SUMPRODUCT(('📋 Daily Log'!$D$5:$D$5000="RIG-06")*('📋 Daily Log'!$K$5:$K$5000))</f>
        <v>1295</v>
      </c>
      <c r="F37" s="32">
        <f>IFERROR(SUMPRODUCT(('📋 Daily Log'!$D$5:$D$5000="RIG-06")*('📋 Daily Log'!$K$5:$K$5000))/(SUMPRODUCT(('📋 Daily Log'!$D$5:$D$5000="RIG-06")*('📋 Daily Log'!$J$5:$J$5000))-SUMPRODUCT(('📋 Daily Log'!$D$5:$D$5000="RIG-06")*('📋 Daily Log'!$M$5:$M$5000))),0)</f>
        <v>9.1519434628975276</v>
      </c>
      <c r="G37" s="32">
        <f>SUMPRODUCT(('📋 Daily Log'!$D$5:$D$5000="RIG-06")*('📋 Daily Log'!$M$5:$M$5000))</f>
        <v>26.4</v>
      </c>
      <c r="H37" s="33">
        <f>IFERROR(SUMPRODUCT(('📋 Daily Log'!$D$5:$D$5000="RIG-06")*('📋 Daily Log'!$M$5:$M$5000))/SUMPRODUCT(('📋 Daily Log'!$D$5:$D$5000="RIG-06")*('📋 Daily Log'!$J$5:$J$5000)),0)</f>
        <v>0.15723645026801669</v>
      </c>
    </row>
    <row r="39" spans="1:8" ht="22" customHeight="1" x14ac:dyDescent="0.2">
      <c r="A39" s="47" t="s">
        <v>132</v>
      </c>
      <c r="B39" s="42"/>
      <c r="C39" s="42"/>
      <c r="D39" s="42"/>
      <c r="E39" s="42"/>
      <c r="F39" s="42"/>
      <c r="G39" s="42"/>
      <c r="H39" s="42"/>
    </row>
    <row r="40" spans="1:8" ht="18" customHeight="1" x14ac:dyDescent="0.2">
      <c r="A40" s="27" t="s">
        <v>126</v>
      </c>
      <c r="B40" s="27" t="s">
        <v>103</v>
      </c>
      <c r="C40" s="27" t="s">
        <v>127</v>
      </c>
      <c r="D40" s="27" t="s">
        <v>128</v>
      </c>
      <c r="E40" s="27" t="s">
        <v>12</v>
      </c>
      <c r="F40" s="27" t="s">
        <v>129</v>
      </c>
      <c r="G40" s="27" t="s">
        <v>14</v>
      </c>
      <c r="H40" s="27" t="s">
        <v>130</v>
      </c>
    </row>
    <row r="41" spans="1:8" ht="17" customHeight="1" x14ac:dyDescent="0.2">
      <c r="A41" s="28" t="s">
        <v>20</v>
      </c>
      <c r="B41" s="20">
        <f>SUMPRODUCT(('📋 Daily Log'!$F$5:$F$5000="Casing")*1)</f>
        <v>17</v>
      </c>
      <c r="C41" s="21">
        <f>SUMPRODUCT(('📋 Daily Log'!$F$5:$F$5000="Casing")*('📋 Daily Log'!$I$5:$I$5000))</f>
        <v>140101</v>
      </c>
      <c r="D41" s="21">
        <f>IFERROR(SUMPRODUCT(('📋 Daily Log'!$F$5:$F$5000="Casing")*('📋 Daily Log'!$I$5:$I$5000))/SUMPRODUCT(('📋 Daily Log'!$F$5:$F$5000="Casing")*1),0)</f>
        <v>8241.2352941176468</v>
      </c>
      <c r="E41" s="20">
        <f>SUMPRODUCT(('📋 Daily Log'!$F$5:$F$5000="Casing")*('📋 Daily Log'!$K$5:$K$5000))</f>
        <v>2073</v>
      </c>
      <c r="F41" s="5">
        <f>IFERROR(SUMPRODUCT(('📋 Daily Log'!$F$5:$F$5000="Casing")*('📋 Daily Log'!$K$5:$K$5000))/(SUMPRODUCT(('📋 Daily Log'!$F$5:$F$5000="Casing")*('📋 Daily Log'!$J$5:$J$5000))-SUMPRODUCT(('📋 Daily Log'!$F$5:$F$5000="Casing")*('📋 Daily Log'!$M$5:$M$5000))),0)</f>
        <v>10.313432835820898</v>
      </c>
      <c r="G41" s="5">
        <f>SUMPRODUCT(('📋 Daily Log'!$F$5:$F$5000="Casing")*('📋 Daily Log'!$M$5:$M$5000))</f>
        <v>17.5</v>
      </c>
      <c r="H41" s="22">
        <f>IFERROR(SUMPRODUCT(('📋 Daily Log'!$F$5:$F$5000="Casing")*('📋 Daily Log'!$M$5:$M$5000))/SUMPRODUCT(('📋 Daily Log'!$F$5:$F$5000="Casing")*('📋 Daily Log'!$J$5:$J$5000)),0)</f>
        <v>8.0091533180778038E-2</v>
      </c>
    </row>
    <row r="42" spans="1:8" ht="17" customHeight="1" x14ac:dyDescent="0.2">
      <c r="A42" s="29" t="s">
        <v>28</v>
      </c>
      <c r="B42" s="30">
        <f>SUMPRODUCT(('📋 Daily Log'!$F$5:$F$5000="Combo")*1)</f>
        <v>15</v>
      </c>
      <c r="C42" s="31">
        <f>SUMPRODUCT(('📋 Daily Log'!$F$5:$F$5000="Combo")*('📋 Daily Log'!$I$5:$I$5000))</f>
        <v>124376</v>
      </c>
      <c r="D42" s="31">
        <f>IFERROR(SUMPRODUCT(('📋 Daily Log'!$F$5:$F$5000="Combo")*('📋 Daily Log'!$I$5:$I$5000))/SUMPRODUCT(('📋 Daily Log'!$F$5:$F$5000="Combo")*1),0)</f>
        <v>8291.7333333333336</v>
      </c>
      <c r="E42" s="30">
        <f>SUMPRODUCT(('📋 Daily Log'!$F$5:$F$5000="Combo")*('📋 Daily Log'!$K$5:$K$5000))</f>
        <v>1325</v>
      </c>
      <c r="F42" s="32">
        <f>IFERROR(SUMPRODUCT(('📋 Daily Log'!$F$5:$F$5000="Combo")*('📋 Daily Log'!$K$5:$K$5000))/(SUMPRODUCT(('📋 Daily Log'!$F$5:$F$5000="Combo")*('📋 Daily Log'!$J$5:$J$5000))-SUMPRODUCT(('📋 Daily Log'!$F$5:$F$5000="Combo")*('📋 Daily Log'!$M$5:$M$5000))),0)</f>
        <v>7.7987051206592124</v>
      </c>
      <c r="G42" s="32">
        <f>SUMPRODUCT(('📋 Daily Log'!$F$5:$F$5000="Combo")*('📋 Daily Log'!$M$5:$M$5000))</f>
        <v>25.5</v>
      </c>
      <c r="H42" s="33">
        <f>IFERROR(SUMPRODUCT(('📋 Daily Log'!$F$5:$F$5000="Combo")*('📋 Daily Log'!$M$5:$M$5000))/SUMPRODUCT(('📋 Daily Log'!$F$5:$F$5000="Combo")*('📋 Daily Log'!$J$5:$J$5000)),0)</f>
        <v>0.13050153531218014</v>
      </c>
    </row>
    <row r="43" spans="1:8" ht="17" customHeight="1" x14ac:dyDescent="0.2">
      <c r="A43" s="28" t="s">
        <v>41</v>
      </c>
      <c r="B43" s="20">
        <f>SUMPRODUCT(('📋 Daily Log'!$F$5:$F$5000="Tubing")*1)</f>
        <v>12</v>
      </c>
      <c r="C43" s="21">
        <f>SUMPRODUCT(('📋 Daily Log'!$F$5:$F$5000="Tubing")*('📋 Daily Log'!$I$5:$I$5000))</f>
        <v>124179</v>
      </c>
      <c r="D43" s="21">
        <f>IFERROR(SUMPRODUCT(('📋 Daily Log'!$F$5:$F$5000="Tubing")*('📋 Daily Log'!$I$5:$I$5000))/SUMPRODUCT(('📋 Daily Log'!$F$5:$F$5000="Tubing")*1),0)</f>
        <v>10348.25</v>
      </c>
      <c r="E43" s="20">
        <f>SUMPRODUCT(('📋 Daily Log'!$F$5:$F$5000="Tubing")*('📋 Daily Log'!$K$5:$K$5000))</f>
        <v>992</v>
      </c>
      <c r="F43" s="5">
        <f>IFERROR(SUMPRODUCT(('📋 Daily Log'!$F$5:$F$5000="Tubing")*('📋 Daily Log'!$K$5:$K$5000))/(SUMPRODUCT(('📋 Daily Log'!$F$5:$F$5000="Tubing")*('📋 Daily Log'!$J$5:$J$5000))-SUMPRODUCT(('📋 Daily Log'!$F$5:$F$5000="Tubing")*('📋 Daily Log'!$M$5:$M$5000))),0)</f>
        <v>7.4811463046757147</v>
      </c>
      <c r="G43" s="5">
        <f>SUMPRODUCT(('📋 Daily Log'!$F$5:$F$5000="Tubing")*('📋 Daily Log'!$M$5:$M$5000))</f>
        <v>16.5</v>
      </c>
      <c r="H43" s="22">
        <f>IFERROR(SUMPRODUCT(('📋 Daily Log'!$F$5:$F$5000="Tubing")*('📋 Daily Log'!$M$5:$M$5000))/SUMPRODUCT(('📋 Daily Log'!$F$5:$F$5000="Tubing")*('📋 Daily Log'!$J$5:$J$5000)),0)</f>
        <v>0.11066398390342051</v>
      </c>
    </row>
    <row r="44" spans="1:8" ht="17" customHeight="1" x14ac:dyDescent="0.2">
      <c r="A44" s="29" t="s">
        <v>35</v>
      </c>
      <c r="B44" s="30">
        <f>SUMPRODUCT(('📋 Daily Log'!$F$5:$F$5000="CDS")*1)</f>
        <v>11</v>
      </c>
      <c r="C44" s="31">
        <f>SUMPRODUCT(('📋 Daily Log'!$F$5:$F$5000="CDS")*('📋 Daily Log'!$I$5:$I$5000))</f>
        <v>111017</v>
      </c>
      <c r="D44" s="31">
        <f>IFERROR(SUMPRODUCT(('📋 Daily Log'!$F$5:$F$5000="CDS")*('📋 Daily Log'!$I$5:$I$5000))/SUMPRODUCT(('📋 Daily Log'!$F$5:$F$5000="CDS")*1),0)</f>
        <v>10092.454545454546</v>
      </c>
      <c r="E44" s="30">
        <f>SUMPRODUCT(('📋 Daily Log'!$F$5:$F$5000="CDS")*('📋 Daily Log'!$K$5:$K$5000))</f>
        <v>1608</v>
      </c>
      <c r="F44" s="32">
        <f>IFERROR(SUMPRODUCT(('📋 Daily Log'!$F$5:$F$5000="CDS")*('📋 Daily Log'!$K$5:$K$5000))/(SUMPRODUCT(('📋 Daily Log'!$F$5:$F$5000="CDS")*('📋 Daily Log'!$J$5:$J$5000))-SUMPRODUCT(('📋 Daily Log'!$F$5:$F$5000="CDS")*('📋 Daily Log'!$M$5:$M$5000))),0)</f>
        <v>9.0286355979786634</v>
      </c>
      <c r="G44" s="32">
        <f>SUMPRODUCT(('📋 Daily Log'!$F$5:$F$5000="CDS")*('📋 Daily Log'!$M$5:$M$5000))</f>
        <v>6.5</v>
      </c>
      <c r="H44" s="33">
        <f>IFERROR(SUMPRODUCT(('📋 Daily Log'!$F$5:$F$5000="CDS")*('📋 Daily Log'!$M$5:$M$5000))/SUMPRODUCT(('📋 Daily Log'!$F$5:$F$5000="CDS")*('📋 Daily Log'!$J$5:$J$5000)),0)</f>
        <v>3.5211267605633804E-2</v>
      </c>
    </row>
    <row r="45" spans="1:8" ht="17" customHeight="1" x14ac:dyDescent="0.2">
      <c r="A45" s="28" t="s">
        <v>54</v>
      </c>
      <c r="B45" s="20">
        <f>SUMPRODUCT(('📋 Daily Log'!$F$5:$F$5000="PULD")*1)</f>
        <v>8</v>
      </c>
      <c r="C45" s="21">
        <f>SUMPRODUCT(('📋 Daily Log'!$F$5:$F$5000="PULD")*('📋 Daily Log'!$I$5:$I$5000))</f>
        <v>68637</v>
      </c>
      <c r="D45" s="21">
        <f>IFERROR(SUMPRODUCT(('📋 Daily Log'!$F$5:$F$5000="PULD")*('📋 Daily Log'!$I$5:$I$5000))/SUMPRODUCT(('📋 Daily Log'!$F$5:$F$5000="PULD")*1),0)</f>
        <v>8579.625</v>
      </c>
      <c r="E45" s="20">
        <f>SUMPRODUCT(('📋 Daily Log'!$F$5:$F$5000="PULD")*('📋 Daily Log'!$K$5:$K$5000))</f>
        <v>952</v>
      </c>
      <c r="F45" s="5">
        <f>IFERROR(SUMPRODUCT(('📋 Daily Log'!$F$5:$F$5000="PULD")*('📋 Daily Log'!$K$5:$K$5000))/(SUMPRODUCT(('📋 Daily Log'!$F$5:$F$5000="PULD")*('📋 Daily Log'!$J$5:$J$5000))-SUMPRODUCT(('📋 Daily Log'!$F$5:$F$5000="PULD")*('📋 Daily Log'!$M$5:$M$5000))),0)</f>
        <v>9.6551724137931032</v>
      </c>
      <c r="G45" s="5">
        <f>SUMPRODUCT(('📋 Daily Log'!$F$5:$F$5000="PULD")*('📋 Daily Log'!$M$5:$M$5000))</f>
        <v>5.5</v>
      </c>
      <c r="H45" s="22">
        <f>IFERROR(SUMPRODUCT(('📋 Daily Log'!$F$5:$F$5000="PULD")*('📋 Daily Log'!$M$5:$M$5000))/SUMPRODUCT(('📋 Daily Log'!$F$5:$F$5000="PULD")*('📋 Daily Log'!$J$5:$J$5000)),0)</f>
        <v>5.283381364073006E-2</v>
      </c>
    </row>
    <row r="47" spans="1:8" ht="22" customHeight="1" x14ac:dyDescent="0.2">
      <c r="A47" s="47" t="s">
        <v>133</v>
      </c>
      <c r="B47" s="42"/>
      <c r="C47" s="42"/>
      <c r="D47" s="42"/>
      <c r="E47" s="42"/>
    </row>
    <row r="48" spans="1:8" ht="18" customHeight="1" x14ac:dyDescent="0.2">
      <c r="A48" s="27" t="s">
        <v>15</v>
      </c>
      <c r="B48" s="27" t="s">
        <v>134</v>
      </c>
      <c r="C48" s="27" t="s">
        <v>135</v>
      </c>
      <c r="D48" s="27" t="s">
        <v>136</v>
      </c>
      <c r="E48" s="27"/>
    </row>
    <row r="49" spans="1:16" ht="17" customHeight="1" x14ac:dyDescent="0.2">
      <c r="A49" s="34" t="s">
        <v>33</v>
      </c>
      <c r="B49" s="5">
        <f>SUMPRODUCT(('📋 Daily Log'!$N$5:$N$5000="Process")*('📋 Daily Log'!$M$5:$M$5000))</f>
        <v>27.700000000000003</v>
      </c>
      <c r="C49" s="22">
        <f>IFERROR(B49/SUM('📋 Daily Log'!$M$5:$M$5000),0)</f>
        <v>0.38741258741258755</v>
      </c>
      <c r="D49" s="22">
        <f>SUM(C49:C49)</f>
        <v>0.38741258741258755</v>
      </c>
    </row>
    <row r="50" spans="1:16" ht="17" customHeight="1" x14ac:dyDescent="0.2">
      <c r="A50" s="35" t="s">
        <v>58</v>
      </c>
      <c r="B50" s="32">
        <f>SUMPRODUCT(('📋 Daily Log'!$N$5:$N$5000="Personnel")*('📋 Daily Log'!$M$5:$M$5000))</f>
        <v>17.200000000000003</v>
      </c>
      <c r="C50" s="33">
        <f>IFERROR(B50/SUM('📋 Daily Log'!$M$5:$M$5000),0)</f>
        <v>0.24055944055944065</v>
      </c>
      <c r="D50" s="33">
        <f>SUM(C49:C50)</f>
        <v>0.62797202797202822</v>
      </c>
    </row>
    <row r="51" spans="1:16" ht="17" customHeight="1" x14ac:dyDescent="0.2">
      <c r="A51" s="34" t="s">
        <v>22</v>
      </c>
      <c r="B51" s="5">
        <f>SUMPRODUCT(('📋 Daily Log'!$N$5:$N$5000="Equipment")*('📋 Daily Log'!$M$5:$M$5000))</f>
        <v>11.700000000000001</v>
      </c>
      <c r="C51" s="22">
        <f>IFERROR(B51/SUM('📋 Daily Log'!$M$5:$M$5000),0)</f>
        <v>0.16363636363636369</v>
      </c>
      <c r="D51" s="22">
        <f>SUM(C49:C51)</f>
        <v>0.79160839160839191</v>
      </c>
    </row>
    <row r="52" spans="1:16" ht="17" customHeight="1" x14ac:dyDescent="0.2">
      <c r="A52" s="35" t="s">
        <v>69</v>
      </c>
      <c r="B52" s="32">
        <f>SUMPRODUCT(('📋 Daily Log'!$N$5:$N$5000="Weather")*('📋 Daily Log'!$M$5:$M$5000))</f>
        <v>7.6000000000000005</v>
      </c>
      <c r="C52" s="33">
        <f>IFERROR(B52/SUM('📋 Daily Log'!$M$5:$M$5000),0)</f>
        <v>0.10629370629370632</v>
      </c>
      <c r="D52" s="33">
        <f>SUM(C49:C52)</f>
        <v>0.89790209790209818</v>
      </c>
    </row>
    <row r="53" spans="1:16" ht="17" customHeight="1" x14ac:dyDescent="0.2">
      <c r="A53" s="34" t="s">
        <v>51</v>
      </c>
      <c r="B53" s="5">
        <f>SUMPRODUCT(('📋 Daily Log'!$N$5:$N$5000="Client/3rd")*('📋 Daily Log'!$M$5:$M$5000))</f>
        <v>7.3</v>
      </c>
      <c r="C53" s="22">
        <f>IFERROR(B53/SUM('📋 Daily Log'!$M$5:$M$5000),0)</f>
        <v>0.10209790209790212</v>
      </c>
      <c r="D53" s="22">
        <f>SUM(C49:C53)</f>
        <v>1.0000000000000002</v>
      </c>
    </row>
    <row r="55" spans="1:16" ht="14" customHeight="1" x14ac:dyDescent="0.2">
      <c r="A55" s="48" t="s">
        <v>159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</row>
  </sheetData>
  <mergeCells count="43">
    <mergeCell ref="A55:P55"/>
    <mergeCell ref="M6:P6"/>
    <mergeCell ref="M12:P12"/>
    <mergeCell ref="E11:H11"/>
    <mergeCell ref="I5:L5"/>
    <mergeCell ref="A47:E47"/>
    <mergeCell ref="I7:L7"/>
    <mergeCell ref="E19:H19"/>
    <mergeCell ref="A22:H22"/>
    <mergeCell ref="E13:H13"/>
    <mergeCell ref="A18:D18"/>
    <mergeCell ref="I18:L18"/>
    <mergeCell ref="A12:D12"/>
    <mergeCell ref="I12:L12"/>
    <mergeCell ref="M5:P5"/>
    <mergeCell ref="E17:H17"/>
    <mergeCell ref="A6:D6"/>
    <mergeCell ref="A1:P1"/>
    <mergeCell ref="A7:D7"/>
    <mergeCell ref="M11:P11"/>
    <mergeCell ref="M13:P13"/>
    <mergeCell ref="M7:P7"/>
    <mergeCell ref="E6:H6"/>
    <mergeCell ref="A2:P2"/>
    <mergeCell ref="M17:P17"/>
    <mergeCell ref="E7:H7"/>
    <mergeCell ref="A19:D19"/>
    <mergeCell ref="I19:L19"/>
    <mergeCell ref="A13:D13"/>
    <mergeCell ref="M19:P19"/>
    <mergeCell ref="I13:L13"/>
    <mergeCell ref="E18:H18"/>
    <mergeCell ref="E12:H12"/>
    <mergeCell ref="A11:D11"/>
    <mergeCell ref="I11:L11"/>
    <mergeCell ref="M18:P18"/>
    <mergeCell ref="A5:D5"/>
    <mergeCell ref="A17:D17"/>
    <mergeCell ref="A30:H30"/>
    <mergeCell ref="A39:H39"/>
    <mergeCell ref="I17:L17"/>
    <mergeCell ref="I6:L6"/>
    <mergeCell ref="E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5E20"/>
  </sheetPr>
  <dimension ref="A1:H48"/>
  <sheetViews>
    <sheetView showGridLines="0" workbookViewId="0">
      <pane ySplit="17" topLeftCell="A30" activePane="bottomLeft" state="frozen"/>
      <selection pane="bottomLeft" activeCell="C15" sqref="C15"/>
    </sheetView>
  </sheetViews>
  <sheetFormatPr baseColWidth="10" defaultColWidth="27.5" defaultRowHeight="15" x14ac:dyDescent="0.2"/>
  <sheetData>
    <row r="1" spans="1:8" ht="40" customHeight="1" x14ac:dyDescent="0.2">
      <c r="A1" s="41" t="s">
        <v>137</v>
      </c>
      <c r="B1" s="42"/>
      <c r="C1" s="42"/>
      <c r="D1" s="42"/>
      <c r="E1" s="42"/>
      <c r="F1" s="42"/>
      <c r="G1" s="42"/>
      <c r="H1" s="42"/>
    </row>
    <row r="2" spans="1:8" s="65" customFormat="1" ht="18" customHeight="1" x14ac:dyDescent="0.2">
      <c r="A2" s="69" t="str">
        <f ca="1">"  Tubular Running Services  ·  Eastern Province, KSA  ·  Updated: "&amp;TEXT(TODAY(),"DD MMM YYYY")&amp;"  ·  "</f>
        <v xml:space="preserve">  Tubular Running Services  ·  Eastern Province, KSA  ·  Updated: 30 Rab. II 2026  ·  </v>
      </c>
      <c r="B2" s="70"/>
      <c r="C2" s="70"/>
      <c r="D2" s="70"/>
      <c r="E2" s="70"/>
      <c r="F2" s="70"/>
      <c r="G2" s="70"/>
      <c r="H2" s="70"/>
    </row>
    <row r="3" spans="1:8" ht="10" customHeight="1" x14ac:dyDescent="0.2"/>
    <row r="4" spans="1:8" ht="22" customHeight="1" x14ac:dyDescent="0.2">
      <c r="A4" s="71" t="str">
        <f>"  📅  LATEST DAY:  "&amp;TEXT(Pivot!A31,"DD MMMM YYYY")</f>
        <v xml:space="preserve">  📅  LATEST DAY:  29 Rabiʻ II 2026</v>
      </c>
      <c r="B4" s="72"/>
      <c r="C4" s="72"/>
      <c r="D4" s="72"/>
      <c r="E4" s="72"/>
      <c r="F4" s="72"/>
      <c r="G4" s="72"/>
      <c r="H4" s="72"/>
    </row>
    <row r="5" spans="1:8" ht="8" customHeight="1" x14ac:dyDescent="0.2"/>
    <row r="6" spans="1:8" ht="5" customHeight="1" x14ac:dyDescent="0.2">
      <c r="A6" s="23"/>
      <c r="B6" s="23"/>
      <c r="C6" s="23"/>
      <c r="D6" s="23"/>
      <c r="E6" s="23"/>
      <c r="F6" s="24"/>
      <c r="G6" s="24"/>
      <c r="H6" s="23"/>
    </row>
    <row r="7" spans="1:8" ht="16" customHeight="1" x14ac:dyDescent="0.2">
      <c r="A7" s="46" t="s">
        <v>138</v>
      </c>
      <c r="B7" s="42"/>
      <c r="C7" s="42"/>
      <c r="D7" s="46" t="s">
        <v>139</v>
      </c>
      <c r="E7" s="42"/>
      <c r="F7" s="46" t="s">
        <v>140</v>
      </c>
      <c r="G7" s="42"/>
      <c r="H7" s="46" t="s">
        <v>141</v>
      </c>
    </row>
    <row r="8" spans="1:8" ht="34" customHeight="1" x14ac:dyDescent="0.2">
      <c r="A8" s="58">
        <f>Pivot!B31</f>
        <v>25952</v>
      </c>
      <c r="B8" s="42"/>
      <c r="C8" s="42"/>
      <c r="D8" s="57">
        <f>Pivot!C31</f>
        <v>3</v>
      </c>
      <c r="E8" s="42"/>
      <c r="F8" s="59">
        <f>Pivot!D31</f>
        <v>3.5</v>
      </c>
      <c r="G8" s="42"/>
      <c r="H8" s="58">
        <f>SUM('📋 Daily Log'!$I$5:$I$5000)</f>
        <v>568310</v>
      </c>
    </row>
    <row r="9" spans="1:8" ht="14" customHeight="1" x14ac:dyDescent="0.2">
      <c r="A9" s="48" t="str">
        <f>TEXT(Pivot!A31,"DD MMM YYYY")</f>
        <v>29 Rab. II 2026</v>
      </c>
      <c r="B9" s="42"/>
      <c r="C9" s="42"/>
      <c r="D9" s="48" t="s">
        <v>142</v>
      </c>
      <c r="E9" s="42"/>
      <c r="F9" s="48" t="str">
        <f>"NPT%: "&amp;TEXT(Pivot!G31,"0.0%")</f>
        <v>NPT%: 7.4%</v>
      </c>
      <c r="G9" s="42"/>
      <c r="H9" s="48" t="s">
        <v>143</v>
      </c>
    </row>
    <row r="10" spans="1:8" ht="6" customHeight="1" x14ac:dyDescent="0.2">
      <c r="A10" s="25"/>
      <c r="B10" s="25"/>
      <c r="C10" s="25"/>
      <c r="D10" s="25"/>
      <c r="E10" s="25"/>
      <c r="F10" s="25"/>
      <c r="G10" s="25"/>
      <c r="H10" s="25"/>
    </row>
    <row r="11" spans="1:8" ht="12" customHeight="1" x14ac:dyDescent="0.2"/>
    <row r="12" spans="1:8" ht="22" customHeight="1" x14ac:dyDescent="0.2">
      <c r="A12" s="47" t="s">
        <v>144</v>
      </c>
      <c r="B12" s="42"/>
      <c r="C12" s="42"/>
      <c r="D12" s="42"/>
      <c r="E12" s="42"/>
      <c r="F12" s="42"/>
      <c r="G12" s="42"/>
      <c r="H12" s="42"/>
    </row>
    <row r="13" spans="1:8" ht="16" customHeight="1" x14ac:dyDescent="0.2">
      <c r="A13" s="27" t="s">
        <v>145</v>
      </c>
      <c r="B13" s="27" t="s">
        <v>146</v>
      </c>
      <c r="C13" s="27" t="s">
        <v>147</v>
      </c>
      <c r="D13" s="27" t="s">
        <v>104</v>
      </c>
      <c r="E13" s="27" t="s">
        <v>148</v>
      </c>
      <c r="F13" s="27" t="s">
        <v>13</v>
      </c>
      <c r="G13" s="27" t="s">
        <v>149</v>
      </c>
      <c r="H13" s="27" t="s">
        <v>150</v>
      </c>
    </row>
    <row r="14" spans="1:8" ht="30" customHeight="1" x14ac:dyDescent="0.2">
      <c r="A14" s="36">
        <f>SUM('📋 Daily Log'!$I$5:$I$5000)</f>
        <v>568310</v>
      </c>
      <c r="B14" s="37">
        <f>SUMPRODUCT(('📋 Daily Log'!$C$5:$C$5000&lt;&gt;"")*1)</f>
        <v>63</v>
      </c>
      <c r="C14" s="38">
        <f>IFERROR(SUM('📋 Daily Log'!$M$5:$M$5000)/SUM('📋 Daily Log'!$J$5:$J$5000),0)</f>
        <v>8.3949747563696109E-2</v>
      </c>
      <c r="D14" s="36">
        <f>IFERROR(SUM('📋 Daily Log'!$I$5:$I$5000)/SUMPRODUCT(('📋 Daily Log'!$C$5:$C$5000&lt;&gt;"")*1),0)</f>
        <v>9020.7936507936502</v>
      </c>
      <c r="E14" s="37">
        <f>SUM('📋 Daily Log'!$K$5:$K$5000)</f>
        <v>6950</v>
      </c>
      <c r="F14" s="39">
        <f>IFERROR(SUM('📋 Daily Log'!$K$5:$K$5000)/(SUM('📋 Daily Log'!$J$5:$J$5000)-SUM('📋 Daily Log'!$M$5:$M$5000)),0)</f>
        <v>8.9079723147910777</v>
      </c>
      <c r="G14" s="38">
        <f>IFERROR(COUNTIF('📋 Daily Log'!$O$5:$O$5000,"FINISHED")/SUMPRODUCT(('📋 Daily Log'!$C$5:$C$5000&lt;&gt;"")*1),0)</f>
        <v>0.88888888888888884</v>
      </c>
      <c r="H14" s="40">
        <f>IFERROR(SUM('📋 Daily Log'!$J$5:$J$5000)/SUMPRODUCT(('📋 Daily Log'!$C$5:$C$5000&lt;&gt;"")*1),0)</f>
        <v>13.519047619047621</v>
      </c>
    </row>
    <row r="15" spans="1:8" ht="12" customHeight="1" x14ac:dyDescent="0.2"/>
    <row r="16" spans="1:8" ht="22" customHeight="1" x14ac:dyDescent="0.2">
      <c r="A16" s="47" t="s">
        <v>151</v>
      </c>
      <c r="B16" s="42"/>
      <c r="C16" s="42"/>
      <c r="D16" s="42"/>
      <c r="E16" s="42"/>
      <c r="F16" s="42"/>
      <c r="G16" s="42"/>
      <c r="H16" s="42"/>
    </row>
    <row r="17" spans="1:8" ht="18" customHeight="1" x14ac:dyDescent="0.2">
      <c r="A17" s="27" t="s">
        <v>3</v>
      </c>
      <c r="B17" s="27" t="s">
        <v>127</v>
      </c>
      <c r="C17" s="27" t="s">
        <v>103</v>
      </c>
      <c r="D17" s="27" t="s">
        <v>14</v>
      </c>
      <c r="E17" s="27" t="s">
        <v>104</v>
      </c>
      <c r="F17" s="27" t="s">
        <v>152</v>
      </c>
      <c r="G17" s="27" t="s">
        <v>130</v>
      </c>
      <c r="H17" s="27" t="s">
        <v>16</v>
      </c>
    </row>
    <row r="18" spans="1:8" ht="17" customHeight="1" x14ac:dyDescent="0.2">
      <c r="A18" s="67">
        <f>Pivot!A3</f>
        <v>46113</v>
      </c>
      <c r="B18" s="11">
        <f>Pivot!B3</f>
        <v>26849</v>
      </c>
      <c r="C18" s="17">
        <f>Pivot!C3</f>
        <v>3</v>
      </c>
      <c r="D18" s="12">
        <f>Pivot!D3</f>
        <v>3.6</v>
      </c>
      <c r="E18" s="18">
        <f>Pivot!E3</f>
        <v>8949.6666666666661</v>
      </c>
      <c r="F18" s="11">
        <f>Pivot!F3</f>
        <v>26849</v>
      </c>
      <c r="G18" s="19">
        <f>Pivot!G3</f>
        <v>0.11842105263157895</v>
      </c>
      <c r="H18" s="10" t="str">
        <f>IF(Pivot!G3&gt;0.1,"🔴 High NPT",IF(Pivot!G3&gt;0.05,"🟡 Watch","🟢 Good"))</f>
        <v>🔴 High NPT</v>
      </c>
    </row>
    <row r="19" spans="1:8" ht="17" customHeight="1" x14ac:dyDescent="0.2">
      <c r="A19" s="68">
        <f>Pivot!A4</f>
        <v>46114</v>
      </c>
      <c r="B19" s="4">
        <f>Pivot!B4</f>
        <v>16932</v>
      </c>
      <c r="C19" s="20">
        <f>Pivot!C4</f>
        <v>2</v>
      </c>
      <c r="D19" s="5">
        <f>Pivot!D4</f>
        <v>3.4</v>
      </c>
      <c r="E19" s="21">
        <f>Pivot!E4</f>
        <v>8466</v>
      </c>
      <c r="F19" s="4">
        <f>Pivot!F4</f>
        <v>43781</v>
      </c>
      <c r="G19" s="22">
        <f>Pivot!G4</f>
        <v>0.10793650793650793</v>
      </c>
      <c r="H19" s="3" t="str">
        <f>IF(Pivot!G4&gt;0.1,"🔴 High NPT",IF(Pivot!G4&gt;0.05,"🟡 Watch","🟢 Good"))</f>
        <v>🔴 High NPT</v>
      </c>
    </row>
    <row r="20" spans="1:8" ht="17" customHeight="1" x14ac:dyDescent="0.2">
      <c r="A20" s="67">
        <f>Pivot!A5</f>
        <v>46115</v>
      </c>
      <c r="B20" s="11">
        <f>Pivot!B5</f>
        <v>13398</v>
      </c>
      <c r="C20" s="17">
        <f>Pivot!C5</f>
        <v>1</v>
      </c>
      <c r="D20" s="12">
        <f>Pivot!D5</f>
        <v>0</v>
      </c>
      <c r="E20" s="18">
        <f>Pivot!E5</f>
        <v>13398</v>
      </c>
      <c r="F20" s="11">
        <f>Pivot!F5</f>
        <v>57179</v>
      </c>
      <c r="G20" s="19">
        <f>Pivot!G5</f>
        <v>0</v>
      </c>
      <c r="H20" s="10" t="str">
        <f>IF(Pivot!G5&gt;0.1,"🔴 High NPT",IF(Pivot!G5&gt;0.05,"🟡 Watch","🟢 Good"))</f>
        <v>🟢 Good</v>
      </c>
    </row>
    <row r="21" spans="1:8" ht="17" customHeight="1" x14ac:dyDescent="0.2">
      <c r="A21" s="68">
        <f>Pivot!A6</f>
        <v>46116</v>
      </c>
      <c r="B21" s="4">
        <f>Pivot!B6</f>
        <v>16369</v>
      </c>
      <c r="C21" s="20">
        <f>Pivot!C6</f>
        <v>2</v>
      </c>
      <c r="D21" s="5">
        <f>Pivot!D6</f>
        <v>0</v>
      </c>
      <c r="E21" s="21">
        <f>Pivot!E6</f>
        <v>8184.5</v>
      </c>
      <c r="F21" s="4">
        <f>Pivot!F6</f>
        <v>73548</v>
      </c>
      <c r="G21" s="22">
        <f>Pivot!G6</f>
        <v>0</v>
      </c>
      <c r="H21" s="3" t="str">
        <f>IF(Pivot!G6&gt;0.1,"🔴 High NPT",IF(Pivot!G6&gt;0.05,"🟡 Watch","🟢 Good"))</f>
        <v>🟢 Good</v>
      </c>
    </row>
    <row r="22" spans="1:8" ht="17" customHeight="1" x14ac:dyDescent="0.2">
      <c r="A22" s="67">
        <f>Pivot!A7</f>
        <v>46117</v>
      </c>
      <c r="B22" s="11">
        <f>Pivot!B7</f>
        <v>32286</v>
      </c>
      <c r="C22" s="17">
        <f>Pivot!C7</f>
        <v>3</v>
      </c>
      <c r="D22" s="12">
        <f>Pivot!D7</f>
        <v>0</v>
      </c>
      <c r="E22" s="18">
        <f>Pivot!E7</f>
        <v>10762</v>
      </c>
      <c r="F22" s="11">
        <f>Pivot!F7</f>
        <v>105834</v>
      </c>
      <c r="G22" s="19">
        <f>Pivot!G7</f>
        <v>0</v>
      </c>
      <c r="H22" s="10" t="str">
        <f>IF(Pivot!G7&gt;0.1,"🔴 High NPT",IF(Pivot!G7&gt;0.05,"🟡 Watch","🟢 Good"))</f>
        <v>🟢 Good</v>
      </c>
    </row>
    <row r="23" spans="1:8" ht="17" customHeight="1" x14ac:dyDescent="0.2">
      <c r="A23" s="68">
        <f>Pivot!A8</f>
        <v>46118</v>
      </c>
      <c r="B23" s="4">
        <f>Pivot!B8</f>
        <v>26608</v>
      </c>
      <c r="C23" s="20">
        <f>Pivot!C8</f>
        <v>3</v>
      </c>
      <c r="D23" s="5">
        <f>Pivot!D8</f>
        <v>6.9</v>
      </c>
      <c r="E23" s="21">
        <f>Pivot!E8</f>
        <v>8869.3333333333339</v>
      </c>
      <c r="F23" s="4">
        <f>Pivot!F8</f>
        <v>132442</v>
      </c>
      <c r="G23" s="22">
        <f>Pivot!G8</f>
        <v>0.14806866952789699</v>
      </c>
      <c r="H23" s="3" t="str">
        <f>IF(Pivot!G8&gt;0.1,"🔴 High NPT",IF(Pivot!G8&gt;0.05,"🟡 Watch","🟢 Good"))</f>
        <v>🔴 High NPT</v>
      </c>
    </row>
    <row r="24" spans="1:8" ht="17" customHeight="1" x14ac:dyDescent="0.2">
      <c r="A24" s="67">
        <f>Pivot!A9</f>
        <v>46119</v>
      </c>
      <c r="B24" s="11">
        <f>Pivot!B9</f>
        <v>10855</v>
      </c>
      <c r="C24" s="17">
        <f>Pivot!C9</f>
        <v>2</v>
      </c>
      <c r="D24" s="12">
        <f>Pivot!D9</f>
        <v>4.2</v>
      </c>
      <c r="E24" s="18">
        <f>Pivot!E9</f>
        <v>5427.5</v>
      </c>
      <c r="F24" s="11">
        <f>Pivot!F9</f>
        <v>143297</v>
      </c>
      <c r="G24" s="19">
        <f>Pivot!G9</f>
        <v>0.17948717948717952</v>
      </c>
      <c r="H24" s="10" t="str">
        <f>IF(Pivot!G9&gt;0.1,"🔴 High NPT",IF(Pivot!G9&gt;0.05,"🟡 Watch","🟢 Good"))</f>
        <v>🔴 High NPT</v>
      </c>
    </row>
    <row r="25" spans="1:8" ht="17" customHeight="1" x14ac:dyDescent="0.2">
      <c r="A25" s="68">
        <f>Pivot!A10</f>
        <v>46120</v>
      </c>
      <c r="B25" s="4">
        <f>Pivot!B10</f>
        <v>15946</v>
      </c>
      <c r="C25" s="20">
        <f>Pivot!C10</f>
        <v>2</v>
      </c>
      <c r="D25" s="5">
        <f>Pivot!D10</f>
        <v>0</v>
      </c>
      <c r="E25" s="21">
        <f>Pivot!E10</f>
        <v>7973</v>
      </c>
      <c r="F25" s="4">
        <f>Pivot!F10</f>
        <v>159243</v>
      </c>
      <c r="G25" s="22">
        <f>Pivot!G10</f>
        <v>0</v>
      </c>
      <c r="H25" s="3" t="str">
        <f>IF(Pivot!G10&gt;0.1,"🔴 High NPT",IF(Pivot!G10&gt;0.05,"🟡 Watch","🟢 Good"))</f>
        <v>🟢 Good</v>
      </c>
    </row>
    <row r="26" spans="1:8" ht="17" customHeight="1" x14ac:dyDescent="0.2">
      <c r="A26" s="67">
        <f>Pivot!A11</f>
        <v>46121</v>
      </c>
      <c r="B26" s="11">
        <f>Pivot!B11</f>
        <v>22837</v>
      </c>
      <c r="C26" s="17">
        <f>Pivot!C11</f>
        <v>3</v>
      </c>
      <c r="D26" s="12">
        <f>Pivot!D11</f>
        <v>5</v>
      </c>
      <c r="E26" s="18">
        <f>Pivot!E11</f>
        <v>7612.333333333333</v>
      </c>
      <c r="F26" s="11">
        <f>Pivot!F11</f>
        <v>182080</v>
      </c>
      <c r="G26" s="19">
        <f>Pivot!G11</f>
        <v>0.11160714285714286</v>
      </c>
      <c r="H26" s="10" t="str">
        <f>IF(Pivot!G11&gt;0.1,"🔴 High NPT",IF(Pivot!G11&gt;0.05,"🟡 Watch","🟢 Good"))</f>
        <v>🔴 High NPT</v>
      </c>
    </row>
    <row r="27" spans="1:8" ht="17" customHeight="1" x14ac:dyDescent="0.2">
      <c r="A27" s="68">
        <f>Pivot!A12</f>
        <v>46122</v>
      </c>
      <c r="B27" s="4">
        <f>Pivot!B12</f>
        <v>10826</v>
      </c>
      <c r="C27" s="20">
        <f>Pivot!C12</f>
        <v>1</v>
      </c>
      <c r="D27" s="5">
        <f>Pivot!D12</f>
        <v>0</v>
      </c>
      <c r="E27" s="21">
        <f>Pivot!E12</f>
        <v>10826</v>
      </c>
      <c r="F27" s="4">
        <f>Pivot!F12</f>
        <v>192906</v>
      </c>
      <c r="G27" s="22">
        <f>Pivot!G12</f>
        <v>0</v>
      </c>
      <c r="H27" s="3" t="str">
        <f>IF(Pivot!G12&gt;0.1,"🔴 High NPT",IF(Pivot!G12&gt;0.05,"🟡 Watch","🟢 Good"))</f>
        <v>🟢 Good</v>
      </c>
    </row>
    <row r="28" spans="1:8" ht="17" customHeight="1" x14ac:dyDescent="0.2">
      <c r="A28" s="67">
        <f>Pivot!A13</f>
        <v>46123</v>
      </c>
      <c r="B28" s="11">
        <f>Pivot!B13</f>
        <v>24771</v>
      </c>
      <c r="C28" s="17">
        <f>Pivot!C13</f>
        <v>2</v>
      </c>
      <c r="D28" s="12">
        <f>Pivot!D13</f>
        <v>0</v>
      </c>
      <c r="E28" s="18">
        <f>Pivot!E13</f>
        <v>12385.5</v>
      </c>
      <c r="F28" s="11">
        <f>Pivot!F13</f>
        <v>217677</v>
      </c>
      <c r="G28" s="19">
        <f>Pivot!G13</f>
        <v>0</v>
      </c>
      <c r="H28" s="10" t="str">
        <f>IF(Pivot!G13&gt;0.1,"🔴 High NPT",IF(Pivot!G13&gt;0.05,"🟡 Watch","🟢 Good"))</f>
        <v>🟢 Good</v>
      </c>
    </row>
    <row r="29" spans="1:8" ht="17" customHeight="1" x14ac:dyDescent="0.2">
      <c r="A29" s="68">
        <f>Pivot!A14</f>
        <v>46124</v>
      </c>
      <c r="B29" s="4">
        <f>Pivot!B14</f>
        <v>22736</v>
      </c>
      <c r="C29" s="20">
        <f>Pivot!C14</f>
        <v>3</v>
      </c>
      <c r="D29" s="5">
        <f>Pivot!D14</f>
        <v>5.8000000000000007</v>
      </c>
      <c r="E29" s="21">
        <f>Pivot!E14</f>
        <v>7578.666666666667</v>
      </c>
      <c r="F29" s="4">
        <f>Pivot!F14</f>
        <v>240413</v>
      </c>
      <c r="G29" s="22">
        <f>Pivot!G14</f>
        <v>0.15303430079155675</v>
      </c>
      <c r="H29" s="3" t="str">
        <f>IF(Pivot!G14&gt;0.1,"🔴 High NPT",IF(Pivot!G14&gt;0.05,"🟡 Watch","🟢 Good"))</f>
        <v>🔴 High NPT</v>
      </c>
    </row>
    <row r="30" spans="1:8" ht="17" customHeight="1" x14ac:dyDescent="0.2">
      <c r="A30" s="67">
        <f>Pivot!A15</f>
        <v>46125</v>
      </c>
      <c r="B30" s="11">
        <f>Pivot!B15</f>
        <v>20330</v>
      </c>
      <c r="C30" s="17">
        <f>Pivot!C15</f>
        <v>2</v>
      </c>
      <c r="D30" s="12">
        <f>Pivot!D15</f>
        <v>3.5</v>
      </c>
      <c r="E30" s="18">
        <f>Pivot!E15</f>
        <v>10165</v>
      </c>
      <c r="F30" s="11">
        <f>Pivot!F15</f>
        <v>260743</v>
      </c>
      <c r="G30" s="19">
        <f>Pivot!G15</f>
        <v>7.7092511013215861E-2</v>
      </c>
      <c r="H30" s="10" t="str">
        <f>IF(Pivot!G15&gt;0.1,"🔴 High NPT",IF(Pivot!G15&gt;0.05,"🟡 Watch","🟢 Good"))</f>
        <v>🟡 Watch</v>
      </c>
    </row>
    <row r="31" spans="1:8" ht="17" customHeight="1" x14ac:dyDescent="0.2">
      <c r="A31" s="68">
        <f>Pivot!A16</f>
        <v>46126</v>
      </c>
      <c r="B31" s="4">
        <f>Pivot!B16</f>
        <v>34224</v>
      </c>
      <c r="C31" s="20">
        <f>Pivot!C16</f>
        <v>3</v>
      </c>
      <c r="D31" s="5">
        <f>Pivot!D16</f>
        <v>0.4</v>
      </c>
      <c r="E31" s="21">
        <f>Pivot!E16</f>
        <v>11408</v>
      </c>
      <c r="F31" s="4">
        <f>Pivot!F16</f>
        <v>294967</v>
      </c>
      <c r="G31" s="22">
        <f>Pivot!G16</f>
        <v>1.0416666666666668E-2</v>
      </c>
      <c r="H31" s="3" t="str">
        <f>IF(Pivot!G16&gt;0.1,"🔴 High NPT",IF(Pivot!G16&gt;0.05,"🟡 Watch","🟢 Good"))</f>
        <v>🟢 Good</v>
      </c>
    </row>
    <row r="32" spans="1:8" ht="17" customHeight="1" x14ac:dyDescent="0.2">
      <c r="A32" s="67">
        <f>Pivot!A17</f>
        <v>46127</v>
      </c>
      <c r="B32" s="11">
        <f>Pivot!B17</f>
        <v>3116</v>
      </c>
      <c r="C32" s="17">
        <f>Pivot!C17</f>
        <v>1</v>
      </c>
      <c r="D32" s="12">
        <f>Pivot!D17</f>
        <v>3.6</v>
      </c>
      <c r="E32" s="18">
        <f>Pivot!E17</f>
        <v>3116</v>
      </c>
      <c r="F32" s="11">
        <f>Pivot!F17</f>
        <v>298083</v>
      </c>
      <c r="G32" s="19">
        <f>Pivot!G17</f>
        <v>0.65454545454545454</v>
      </c>
      <c r="H32" s="10" t="str">
        <f>IF(Pivot!G17&gt;0.1,"🔴 High NPT",IF(Pivot!G17&gt;0.05,"🟡 Watch","🟢 Good"))</f>
        <v>🔴 High NPT</v>
      </c>
    </row>
    <row r="33" spans="1:8" ht="17" customHeight="1" x14ac:dyDescent="0.2">
      <c r="A33" s="68">
        <f>Pivot!A18</f>
        <v>46128</v>
      </c>
      <c r="B33" s="4">
        <f>Pivot!B18</f>
        <v>27587</v>
      </c>
      <c r="C33" s="20">
        <f>Pivot!C18</f>
        <v>3</v>
      </c>
      <c r="D33" s="5">
        <f>Pivot!D18</f>
        <v>4.3</v>
      </c>
      <c r="E33" s="21">
        <f>Pivot!E18</f>
        <v>9195.6666666666661</v>
      </c>
      <c r="F33" s="4">
        <f>Pivot!F18</f>
        <v>325670</v>
      </c>
      <c r="G33" s="22">
        <f>Pivot!G18</f>
        <v>7.0840197693574955E-2</v>
      </c>
      <c r="H33" s="3" t="str">
        <f>IF(Pivot!G18&gt;0.1,"🔴 High NPT",IF(Pivot!G18&gt;0.05,"🟡 Watch","🟢 Good"))</f>
        <v>🟡 Watch</v>
      </c>
    </row>
    <row r="34" spans="1:8" ht="17" customHeight="1" x14ac:dyDescent="0.2">
      <c r="A34" s="67">
        <f>Pivot!A19</f>
        <v>46129</v>
      </c>
      <c r="B34" s="11">
        <f>Pivot!B19</f>
        <v>5675</v>
      </c>
      <c r="C34" s="17">
        <f>Pivot!C19</f>
        <v>1</v>
      </c>
      <c r="D34" s="12">
        <f>Pivot!D19</f>
        <v>0</v>
      </c>
      <c r="E34" s="18">
        <f>Pivot!E19</f>
        <v>5675</v>
      </c>
      <c r="F34" s="11">
        <f>Pivot!F19</f>
        <v>331345</v>
      </c>
      <c r="G34" s="19">
        <f>Pivot!G19</f>
        <v>0</v>
      </c>
      <c r="H34" s="10" t="str">
        <f>IF(Pivot!G19&gt;0.1,"🔴 High NPT",IF(Pivot!G19&gt;0.05,"🟡 Watch","🟢 Good"))</f>
        <v>🟢 Good</v>
      </c>
    </row>
    <row r="35" spans="1:8" ht="17" customHeight="1" x14ac:dyDescent="0.2">
      <c r="A35" s="68">
        <f>Pivot!A20</f>
        <v>46130</v>
      </c>
      <c r="B35" s="4">
        <f>Pivot!B20</f>
        <v>15211</v>
      </c>
      <c r="C35" s="20">
        <f>Pivot!C20</f>
        <v>2</v>
      </c>
      <c r="D35" s="5">
        <f>Pivot!D20</f>
        <v>1</v>
      </c>
      <c r="E35" s="21">
        <f>Pivot!E20</f>
        <v>7605.5</v>
      </c>
      <c r="F35" s="4">
        <f>Pivot!F20</f>
        <v>346556</v>
      </c>
      <c r="G35" s="22">
        <f>Pivot!G20</f>
        <v>3.5335689045936397E-2</v>
      </c>
      <c r="H35" s="3" t="str">
        <f>IF(Pivot!G20&gt;0.1,"🔴 High NPT",IF(Pivot!G20&gt;0.05,"🟡 Watch","🟢 Good"))</f>
        <v>🟢 Good</v>
      </c>
    </row>
    <row r="36" spans="1:8" ht="17" customHeight="1" x14ac:dyDescent="0.2">
      <c r="A36" s="67">
        <f>Pivot!A21</f>
        <v>46131</v>
      </c>
      <c r="B36" s="11">
        <f>Pivot!B21</f>
        <v>11242</v>
      </c>
      <c r="C36" s="17">
        <f>Pivot!C21</f>
        <v>1</v>
      </c>
      <c r="D36" s="12">
        <f>Pivot!D21</f>
        <v>0.8</v>
      </c>
      <c r="E36" s="18">
        <f>Pivot!E21</f>
        <v>11242</v>
      </c>
      <c r="F36" s="11">
        <f>Pivot!F21</f>
        <v>357798</v>
      </c>
      <c r="G36" s="19">
        <f>Pivot!G21</f>
        <v>3.5087719298245612E-2</v>
      </c>
      <c r="H36" s="10" t="str">
        <f>IF(Pivot!G21&gt;0.1,"🔴 High NPT",IF(Pivot!G21&gt;0.05,"🟡 Watch","🟢 Good"))</f>
        <v>🟢 Good</v>
      </c>
    </row>
    <row r="37" spans="1:8" ht="17" customHeight="1" x14ac:dyDescent="0.2">
      <c r="A37" s="68">
        <f>Pivot!A22</f>
        <v>46132</v>
      </c>
      <c r="B37" s="4">
        <f>Pivot!B22</f>
        <v>25398</v>
      </c>
      <c r="C37" s="20">
        <f>Pivot!C22</f>
        <v>3</v>
      </c>
      <c r="D37" s="5">
        <f>Pivot!D22</f>
        <v>3.2</v>
      </c>
      <c r="E37" s="21">
        <f>Pivot!E22</f>
        <v>8466</v>
      </c>
      <c r="F37" s="4">
        <f>Pivot!F22</f>
        <v>383196</v>
      </c>
      <c r="G37" s="22">
        <f>Pivot!G22</f>
        <v>8.0604534005037781E-2</v>
      </c>
      <c r="H37" s="3" t="str">
        <f>IF(Pivot!G22&gt;0.1,"🔴 High NPT",IF(Pivot!G22&gt;0.05,"🟡 Watch","🟢 Good"))</f>
        <v>🟡 Watch</v>
      </c>
    </row>
    <row r="38" spans="1:8" ht="17" customHeight="1" x14ac:dyDescent="0.2">
      <c r="A38" s="67">
        <f>Pivot!A23</f>
        <v>46133</v>
      </c>
      <c r="B38" s="11">
        <f>Pivot!B23</f>
        <v>31388</v>
      </c>
      <c r="C38" s="17">
        <f>Pivot!C23</f>
        <v>3</v>
      </c>
      <c r="D38" s="12">
        <f>Pivot!D23</f>
        <v>2.8</v>
      </c>
      <c r="E38" s="18">
        <f>Pivot!E23</f>
        <v>10462.666666666666</v>
      </c>
      <c r="F38" s="11">
        <f>Pivot!F23</f>
        <v>414584</v>
      </c>
      <c r="G38" s="19">
        <f>Pivot!G23</f>
        <v>8.3582089552238795E-2</v>
      </c>
      <c r="H38" s="10" t="str">
        <f>IF(Pivot!G23&gt;0.1,"🔴 High NPT",IF(Pivot!G23&gt;0.05,"🟡 Watch","🟢 Good"))</f>
        <v>🟡 Watch</v>
      </c>
    </row>
    <row r="39" spans="1:8" ht="17" customHeight="1" x14ac:dyDescent="0.2">
      <c r="A39" s="68">
        <f>Pivot!A24</f>
        <v>46134</v>
      </c>
      <c r="B39" s="4">
        <f>Pivot!B24</f>
        <v>14855</v>
      </c>
      <c r="C39" s="20">
        <f>Pivot!C24</f>
        <v>1</v>
      </c>
      <c r="D39" s="5">
        <f>Pivot!D24</f>
        <v>3.6</v>
      </c>
      <c r="E39" s="21">
        <f>Pivot!E24</f>
        <v>14855</v>
      </c>
      <c r="F39" s="4">
        <f>Pivot!F24</f>
        <v>429439</v>
      </c>
      <c r="G39" s="22">
        <f>Pivot!G24</f>
        <v>0.22641509433962265</v>
      </c>
      <c r="H39" s="3" t="str">
        <f>IF(Pivot!G24&gt;0.1,"🔴 High NPT",IF(Pivot!G24&gt;0.05,"🟡 Watch","🟢 Good"))</f>
        <v>🔴 High NPT</v>
      </c>
    </row>
    <row r="40" spans="1:8" ht="17" customHeight="1" x14ac:dyDescent="0.2">
      <c r="A40" s="67">
        <f>Pivot!A25</f>
        <v>46135</v>
      </c>
      <c r="B40" s="11">
        <f>Pivot!B25</f>
        <v>19815</v>
      </c>
      <c r="C40" s="17">
        <f>Pivot!C25</f>
        <v>3</v>
      </c>
      <c r="D40" s="12">
        <f>Pivot!D25</f>
        <v>3.4</v>
      </c>
      <c r="E40" s="18">
        <f>Pivot!E25</f>
        <v>6605</v>
      </c>
      <c r="F40" s="11">
        <f>Pivot!F25</f>
        <v>449254</v>
      </c>
      <c r="G40" s="19">
        <f>Pivot!G25</f>
        <v>9.855072463768115E-2</v>
      </c>
      <c r="H40" s="10" t="str">
        <f>IF(Pivot!G25&gt;0.1,"🔴 High NPT",IF(Pivot!G25&gt;0.05,"🟡 Watch","🟢 Good"))</f>
        <v>🟡 Watch</v>
      </c>
    </row>
    <row r="41" spans="1:8" ht="17" customHeight="1" x14ac:dyDescent="0.2">
      <c r="A41" s="68">
        <f>Pivot!A26</f>
        <v>46136</v>
      </c>
      <c r="B41" s="4">
        <f>Pivot!B26</f>
        <v>23473</v>
      </c>
      <c r="C41" s="20">
        <f>Pivot!C26</f>
        <v>3</v>
      </c>
      <c r="D41" s="5">
        <f>Pivot!D26</f>
        <v>5.8</v>
      </c>
      <c r="E41" s="21">
        <f>Pivot!E26</f>
        <v>7824.333333333333</v>
      </c>
      <c r="F41" s="4">
        <f>Pivot!F26</f>
        <v>472727</v>
      </c>
      <c r="G41" s="22">
        <f>Pivot!G26</f>
        <v>0.15104166666666666</v>
      </c>
      <c r="H41" s="3" t="str">
        <f>IF(Pivot!G26&gt;0.1,"🔴 High NPT",IF(Pivot!G26&gt;0.05,"🟡 Watch","🟢 Good"))</f>
        <v>🔴 High NPT</v>
      </c>
    </row>
    <row r="42" spans="1:8" ht="17" customHeight="1" x14ac:dyDescent="0.2">
      <c r="A42" s="67">
        <f>Pivot!A27</f>
        <v>46137</v>
      </c>
      <c r="B42" s="11">
        <f>Pivot!B27</f>
        <v>7549</v>
      </c>
      <c r="C42" s="17">
        <f>Pivot!C27</f>
        <v>1</v>
      </c>
      <c r="D42" s="12">
        <f>Pivot!D27</f>
        <v>0</v>
      </c>
      <c r="E42" s="18">
        <f>Pivot!E27</f>
        <v>7549</v>
      </c>
      <c r="F42" s="11">
        <f>Pivot!F27</f>
        <v>480276</v>
      </c>
      <c r="G42" s="19">
        <f>Pivot!G27</f>
        <v>0</v>
      </c>
      <c r="H42" s="10" t="str">
        <f>IF(Pivot!G27&gt;0.1,"🔴 High NPT",IF(Pivot!G27&gt;0.05,"🟡 Watch","🟢 Good"))</f>
        <v>🟢 Good</v>
      </c>
    </row>
    <row r="43" spans="1:8" ht="17" customHeight="1" x14ac:dyDescent="0.2">
      <c r="A43" s="68">
        <f>Pivot!A28</f>
        <v>46138</v>
      </c>
      <c r="B43" s="4">
        <f>Pivot!B28</f>
        <v>17851</v>
      </c>
      <c r="C43" s="20">
        <f>Pivot!C28</f>
        <v>2</v>
      </c>
      <c r="D43" s="5">
        <f>Pivot!D28</f>
        <v>0.9</v>
      </c>
      <c r="E43" s="21">
        <f>Pivot!E28</f>
        <v>8925.5</v>
      </c>
      <c r="F43" s="4">
        <f>Pivot!F28</f>
        <v>498127</v>
      </c>
      <c r="G43" s="22">
        <f>Pivot!G28</f>
        <v>4.8648648648648651E-2</v>
      </c>
      <c r="H43" s="3" t="str">
        <f>IF(Pivot!G28&gt;0.1,"🔴 High NPT",IF(Pivot!G28&gt;0.05,"🟡 Watch","🟢 Good"))</f>
        <v>🟢 Good</v>
      </c>
    </row>
    <row r="44" spans="1:8" ht="17" customHeight="1" x14ac:dyDescent="0.2">
      <c r="A44" s="67">
        <f>Pivot!A29</f>
        <v>46139</v>
      </c>
      <c r="B44" s="11">
        <f>Pivot!B29</f>
        <v>28863</v>
      </c>
      <c r="C44" s="17">
        <f>Pivot!C29</f>
        <v>2</v>
      </c>
      <c r="D44" s="12">
        <f>Pivot!D29</f>
        <v>4</v>
      </c>
      <c r="E44" s="18">
        <f>Pivot!E29</f>
        <v>14431.5</v>
      </c>
      <c r="F44" s="11">
        <f>Pivot!F29</f>
        <v>526990</v>
      </c>
      <c r="G44" s="19">
        <f>Pivot!G29</f>
        <v>0.15151515151515152</v>
      </c>
      <c r="H44" s="10" t="str">
        <f>IF(Pivot!G29&gt;0.1,"🔴 High NPT",IF(Pivot!G29&gt;0.05,"🟡 Watch","🟢 Good"))</f>
        <v>🔴 High NPT</v>
      </c>
    </row>
    <row r="45" spans="1:8" ht="17" customHeight="1" x14ac:dyDescent="0.2">
      <c r="A45" s="68">
        <f>Pivot!A30</f>
        <v>46140</v>
      </c>
      <c r="B45" s="4">
        <f>Pivot!B30</f>
        <v>15368</v>
      </c>
      <c r="C45" s="20">
        <f>Pivot!C30</f>
        <v>2</v>
      </c>
      <c r="D45" s="5">
        <f>Pivot!D30</f>
        <v>1.8</v>
      </c>
      <c r="E45" s="21">
        <f>Pivot!E30</f>
        <v>7684</v>
      </c>
      <c r="F45" s="4">
        <f>Pivot!F30</f>
        <v>542358</v>
      </c>
      <c r="G45" s="22">
        <f>Pivot!G30</f>
        <v>7.5630252100840345E-2</v>
      </c>
      <c r="H45" s="3" t="str">
        <f>IF(Pivot!G30&gt;0.1,"🔴 High NPT",IF(Pivot!G30&gt;0.05,"🟡 Watch","🟢 Good"))</f>
        <v>🟡 Watch</v>
      </c>
    </row>
    <row r="46" spans="1:8" ht="17" customHeight="1" x14ac:dyDescent="0.2">
      <c r="A46" s="67">
        <f>Pivot!A31</f>
        <v>46141</v>
      </c>
      <c r="B46" s="11">
        <f>Pivot!B31</f>
        <v>25952</v>
      </c>
      <c r="C46" s="17">
        <f>Pivot!C31</f>
        <v>3</v>
      </c>
      <c r="D46" s="12">
        <f>Pivot!D31</f>
        <v>3.5</v>
      </c>
      <c r="E46" s="18">
        <f>Pivot!E31</f>
        <v>8650.6666666666661</v>
      </c>
      <c r="F46" s="11">
        <f>Pivot!F31</f>
        <v>568310</v>
      </c>
      <c r="G46" s="19">
        <f>Pivot!G31</f>
        <v>7.4309978768577492E-2</v>
      </c>
      <c r="H46" s="10" t="str">
        <f>IF(Pivot!G31&gt;0.1,"🔴 High NPT",IF(Pivot!G31&gt;0.05,"🟡 Watch","🟢 Good"))</f>
        <v>🟡 Watch</v>
      </c>
    </row>
    <row r="48" spans="1:8" ht="14" customHeight="1" x14ac:dyDescent="0.2">
      <c r="A48" s="48" t="s">
        <v>153</v>
      </c>
      <c r="B48" s="42"/>
      <c r="C48" s="42"/>
      <c r="D48" s="42"/>
      <c r="E48" s="42"/>
      <c r="F48" s="42"/>
      <c r="G48" s="42"/>
      <c r="H48" s="42"/>
    </row>
  </sheetData>
  <mergeCells count="18">
    <mergeCell ref="A2:H2"/>
    <mergeCell ref="A16:H16"/>
    <mergeCell ref="A9:C9"/>
    <mergeCell ref="H7"/>
    <mergeCell ref="A1:H1"/>
    <mergeCell ref="A7:C7"/>
    <mergeCell ref="D9:E9"/>
    <mergeCell ref="F9:G9"/>
    <mergeCell ref="F7:G7"/>
    <mergeCell ref="F8:G8"/>
    <mergeCell ref="D8:E8"/>
    <mergeCell ref="A4:H4"/>
    <mergeCell ref="A12:H12"/>
    <mergeCell ref="H9"/>
    <mergeCell ref="A48:H48"/>
    <mergeCell ref="H8"/>
    <mergeCell ref="D7:E7"/>
    <mergeCell ref="A8:C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55A64"/>
  </sheetPr>
  <dimension ref="A1:G31"/>
  <sheetViews>
    <sheetView showGridLines="0" workbookViewId="0">
      <pane ySplit="2" topLeftCell="A3" activePane="bottomLeft" state="frozen"/>
      <selection pane="bottomLeft" activeCell="A2" sqref="A1:A1048576"/>
    </sheetView>
  </sheetViews>
  <sheetFormatPr baseColWidth="10" defaultColWidth="8.83203125" defaultRowHeight="15" x14ac:dyDescent="0.2"/>
  <cols>
    <col min="1" max="1" width="15" style="65" customWidth="1"/>
    <col min="2" max="2" width="17" customWidth="1"/>
    <col min="3" max="3" width="9" customWidth="1"/>
    <col min="4" max="4" width="11" customWidth="1"/>
    <col min="5" max="6" width="17" customWidth="1"/>
    <col min="7" max="7" width="11" customWidth="1"/>
  </cols>
  <sheetData>
    <row r="1" spans="1:7" ht="26" customHeight="1" x14ac:dyDescent="0.2">
      <c r="A1" s="45" t="s">
        <v>101</v>
      </c>
      <c r="B1" s="42"/>
      <c r="C1" s="42"/>
      <c r="D1" s="42"/>
      <c r="E1" s="42"/>
      <c r="F1" s="42"/>
      <c r="G1" s="42"/>
    </row>
    <row r="2" spans="1:7" ht="18" customHeight="1" x14ac:dyDescent="0.2">
      <c r="A2" s="66" t="s">
        <v>3</v>
      </c>
      <c r="B2" s="16" t="s">
        <v>102</v>
      </c>
      <c r="C2" s="16" t="s">
        <v>103</v>
      </c>
      <c r="D2" s="16" t="s">
        <v>14</v>
      </c>
      <c r="E2" s="16" t="s">
        <v>104</v>
      </c>
      <c r="F2" s="16" t="s">
        <v>105</v>
      </c>
      <c r="G2" s="16" t="s">
        <v>106</v>
      </c>
    </row>
    <row r="3" spans="1:7" ht="17" customHeight="1" x14ac:dyDescent="0.2">
      <c r="A3" s="67">
        <v>46113</v>
      </c>
      <c r="B3" s="11">
        <f>SUMPRODUCT(('📋 Daily Log'!$B$5:$B$5000=A3)*('📋 Daily Log'!$I$5:$I$5000))</f>
        <v>26849</v>
      </c>
      <c r="C3" s="17">
        <f>SUMPRODUCT(('📋 Daily Log'!$B$5:$B$5000=A3)*1)</f>
        <v>3</v>
      </c>
      <c r="D3" s="12">
        <f>SUMPRODUCT(('📋 Daily Log'!$B$5:$B$5000=A3)*('📋 Daily Log'!$M$5:$M$5000))</f>
        <v>3.6</v>
      </c>
      <c r="E3" s="18">
        <f t="shared" ref="E3:E31" si="0">IFERROR(B3/C3,0)</f>
        <v>8949.6666666666661</v>
      </c>
      <c r="F3" s="11">
        <f>SUM(B$3:B3)</f>
        <v>26849</v>
      </c>
      <c r="G3" s="19">
        <f>IFERROR(SUMPRODUCT(('📋 Daily Log'!$B$5:$B$5000=A3)*('📋 Daily Log'!$M$5:$M$5000))/SUMPRODUCT(('📋 Daily Log'!$B$5:$B$5000=A3)*('📋 Daily Log'!$J$5:$J$5000)),0)</f>
        <v>0.11842105263157895</v>
      </c>
    </row>
    <row r="4" spans="1:7" ht="17" customHeight="1" x14ac:dyDescent="0.2">
      <c r="A4" s="68">
        <v>46114</v>
      </c>
      <c r="B4" s="4">
        <f>SUMPRODUCT(('📋 Daily Log'!$B$5:$B$5000=A4)*('📋 Daily Log'!$I$5:$I$5000))</f>
        <v>16932</v>
      </c>
      <c r="C4" s="20">
        <f>SUMPRODUCT(('📋 Daily Log'!$B$5:$B$5000=A4)*1)</f>
        <v>2</v>
      </c>
      <c r="D4" s="5">
        <f>SUMPRODUCT(('📋 Daily Log'!$B$5:$B$5000=A4)*('📋 Daily Log'!$M$5:$M$5000))</f>
        <v>3.4</v>
      </c>
      <c r="E4" s="21">
        <f t="shared" si="0"/>
        <v>8466</v>
      </c>
      <c r="F4" s="4">
        <f>SUM(B$3:B4)</f>
        <v>43781</v>
      </c>
      <c r="G4" s="22">
        <f>IFERROR(SUMPRODUCT(('📋 Daily Log'!$B$5:$B$5000=A4)*('📋 Daily Log'!$M$5:$M$5000))/SUMPRODUCT(('📋 Daily Log'!$B$5:$B$5000=A4)*('📋 Daily Log'!$J$5:$J$5000)),0)</f>
        <v>0.10793650793650793</v>
      </c>
    </row>
    <row r="5" spans="1:7" ht="17" customHeight="1" x14ac:dyDescent="0.2">
      <c r="A5" s="67">
        <v>46115</v>
      </c>
      <c r="B5" s="11">
        <f>SUMPRODUCT(('📋 Daily Log'!$B$5:$B$5000=A5)*('📋 Daily Log'!$I$5:$I$5000))</f>
        <v>13398</v>
      </c>
      <c r="C5" s="17">
        <f>SUMPRODUCT(('📋 Daily Log'!$B$5:$B$5000=A5)*1)</f>
        <v>1</v>
      </c>
      <c r="D5" s="12">
        <f>SUMPRODUCT(('📋 Daily Log'!$B$5:$B$5000=A5)*('📋 Daily Log'!$M$5:$M$5000))</f>
        <v>0</v>
      </c>
      <c r="E5" s="18">
        <f t="shared" si="0"/>
        <v>13398</v>
      </c>
      <c r="F5" s="11">
        <f>SUM(B$3:B5)</f>
        <v>57179</v>
      </c>
      <c r="G5" s="19">
        <f>IFERROR(SUMPRODUCT(('📋 Daily Log'!$B$5:$B$5000=A5)*('📋 Daily Log'!$M$5:$M$5000))/SUMPRODUCT(('📋 Daily Log'!$B$5:$B$5000=A5)*('📋 Daily Log'!$J$5:$J$5000)),0)</f>
        <v>0</v>
      </c>
    </row>
    <row r="6" spans="1:7" ht="17" customHeight="1" x14ac:dyDescent="0.2">
      <c r="A6" s="68">
        <v>46116</v>
      </c>
      <c r="B6" s="4">
        <f>SUMPRODUCT(('📋 Daily Log'!$B$5:$B$5000=A6)*('📋 Daily Log'!$I$5:$I$5000))</f>
        <v>16369</v>
      </c>
      <c r="C6" s="20">
        <f>SUMPRODUCT(('📋 Daily Log'!$B$5:$B$5000=A6)*1)</f>
        <v>2</v>
      </c>
      <c r="D6" s="5">
        <f>SUMPRODUCT(('📋 Daily Log'!$B$5:$B$5000=A6)*('📋 Daily Log'!$M$5:$M$5000))</f>
        <v>0</v>
      </c>
      <c r="E6" s="21">
        <f t="shared" si="0"/>
        <v>8184.5</v>
      </c>
      <c r="F6" s="4">
        <f>SUM(B$3:B6)</f>
        <v>73548</v>
      </c>
      <c r="G6" s="22">
        <f>IFERROR(SUMPRODUCT(('📋 Daily Log'!$B$5:$B$5000=A6)*('📋 Daily Log'!$M$5:$M$5000))/SUMPRODUCT(('📋 Daily Log'!$B$5:$B$5000=A6)*('📋 Daily Log'!$J$5:$J$5000)),0)</f>
        <v>0</v>
      </c>
    </row>
    <row r="7" spans="1:7" ht="17" customHeight="1" x14ac:dyDescent="0.2">
      <c r="A7" s="67">
        <v>46117</v>
      </c>
      <c r="B7" s="11">
        <f>SUMPRODUCT(('📋 Daily Log'!$B$5:$B$5000=A7)*('📋 Daily Log'!$I$5:$I$5000))</f>
        <v>32286</v>
      </c>
      <c r="C7" s="17">
        <f>SUMPRODUCT(('📋 Daily Log'!$B$5:$B$5000=A7)*1)</f>
        <v>3</v>
      </c>
      <c r="D7" s="12">
        <f>SUMPRODUCT(('📋 Daily Log'!$B$5:$B$5000=A7)*('📋 Daily Log'!$M$5:$M$5000))</f>
        <v>0</v>
      </c>
      <c r="E7" s="18">
        <f t="shared" si="0"/>
        <v>10762</v>
      </c>
      <c r="F7" s="11">
        <f>SUM(B$3:B7)</f>
        <v>105834</v>
      </c>
      <c r="G7" s="19">
        <f>IFERROR(SUMPRODUCT(('📋 Daily Log'!$B$5:$B$5000=A7)*('📋 Daily Log'!$M$5:$M$5000))/SUMPRODUCT(('📋 Daily Log'!$B$5:$B$5000=A7)*('📋 Daily Log'!$J$5:$J$5000)),0)</f>
        <v>0</v>
      </c>
    </row>
    <row r="8" spans="1:7" ht="17" customHeight="1" x14ac:dyDescent="0.2">
      <c r="A8" s="68">
        <v>46118</v>
      </c>
      <c r="B8" s="4">
        <f>SUMPRODUCT(('📋 Daily Log'!$B$5:$B$5000=A8)*('📋 Daily Log'!$I$5:$I$5000))</f>
        <v>26608</v>
      </c>
      <c r="C8" s="20">
        <f>SUMPRODUCT(('📋 Daily Log'!$B$5:$B$5000=A8)*1)</f>
        <v>3</v>
      </c>
      <c r="D8" s="5">
        <f>SUMPRODUCT(('📋 Daily Log'!$B$5:$B$5000=A8)*('📋 Daily Log'!$M$5:$M$5000))</f>
        <v>6.9</v>
      </c>
      <c r="E8" s="21">
        <f t="shared" si="0"/>
        <v>8869.3333333333339</v>
      </c>
      <c r="F8" s="4">
        <f>SUM(B$3:B8)</f>
        <v>132442</v>
      </c>
      <c r="G8" s="22">
        <f>IFERROR(SUMPRODUCT(('📋 Daily Log'!$B$5:$B$5000=A8)*('📋 Daily Log'!$M$5:$M$5000))/SUMPRODUCT(('📋 Daily Log'!$B$5:$B$5000=A8)*('📋 Daily Log'!$J$5:$J$5000)),0)</f>
        <v>0.14806866952789699</v>
      </c>
    </row>
    <row r="9" spans="1:7" ht="17" customHeight="1" x14ac:dyDescent="0.2">
      <c r="A9" s="67">
        <v>46119</v>
      </c>
      <c r="B9" s="11">
        <f>SUMPRODUCT(('📋 Daily Log'!$B$5:$B$5000=A9)*('📋 Daily Log'!$I$5:$I$5000))</f>
        <v>10855</v>
      </c>
      <c r="C9" s="17">
        <f>SUMPRODUCT(('📋 Daily Log'!$B$5:$B$5000=A9)*1)</f>
        <v>2</v>
      </c>
      <c r="D9" s="12">
        <f>SUMPRODUCT(('📋 Daily Log'!$B$5:$B$5000=A9)*('📋 Daily Log'!$M$5:$M$5000))</f>
        <v>4.2</v>
      </c>
      <c r="E9" s="18">
        <f t="shared" si="0"/>
        <v>5427.5</v>
      </c>
      <c r="F9" s="11">
        <f>SUM(B$3:B9)</f>
        <v>143297</v>
      </c>
      <c r="G9" s="19">
        <f>IFERROR(SUMPRODUCT(('📋 Daily Log'!$B$5:$B$5000=A9)*('📋 Daily Log'!$M$5:$M$5000))/SUMPRODUCT(('📋 Daily Log'!$B$5:$B$5000=A9)*('📋 Daily Log'!$J$5:$J$5000)),0)</f>
        <v>0.17948717948717952</v>
      </c>
    </row>
    <row r="10" spans="1:7" ht="17" customHeight="1" x14ac:dyDescent="0.2">
      <c r="A10" s="68">
        <v>46120</v>
      </c>
      <c r="B10" s="4">
        <f>SUMPRODUCT(('📋 Daily Log'!$B$5:$B$5000=A10)*('📋 Daily Log'!$I$5:$I$5000))</f>
        <v>15946</v>
      </c>
      <c r="C10" s="20">
        <f>SUMPRODUCT(('📋 Daily Log'!$B$5:$B$5000=A10)*1)</f>
        <v>2</v>
      </c>
      <c r="D10" s="5">
        <f>SUMPRODUCT(('📋 Daily Log'!$B$5:$B$5000=A10)*('📋 Daily Log'!$M$5:$M$5000))</f>
        <v>0</v>
      </c>
      <c r="E10" s="21">
        <f t="shared" si="0"/>
        <v>7973</v>
      </c>
      <c r="F10" s="4">
        <f>SUM(B$3:B10)</f>
        <v>159243</v>
      </c>
      <c r="G10" s="22">
        <f>IFERROR(SUMPRODUCT(('📋 Daily Log'!$B$5:$B$5000=A10)*('📋 Daily Log'!$M$5:$M$5000))/SUMPRODUCT(('📋 Daily Log'!$B$5:$B$5000=A10)*('📋 Daily Log'!$J$5:$J$5000)),0)</f>
        <v>0</v>
      </c>
    </row>
    <row r="11" spans="1:7" ht="17" customHeight="1" x14ac:dyDescent="0.2">
      <c r="A11" s="67">
        <v>46121</v>
      </c>
      <c r="B11" s="11">
        <f>SUMPRODUCT(('📋 Daily Log'!$B$5:$B$5000=A11)*('📋 Daily Log'!$I$5:$I$5000))</f>
        <v>22837</v>
      </c>
      <c r="C11" s="17">
        <f>SUMPRODUCT(('📋 Daily Log'!$B$5:$B$5000=A11)*1)</f>
        <v>3</v>
      </c>
      <c r="D11" s="12">
        <f>SUMPRODUCT(('📋 Daily Log'!$B$5:$B$5000=A11)*('📋 Daily Log'!$M$5:$M$5000))</f>
        <v>5</v>
      </c>
      <c r="E11" s="18">
        <f t="shared" si="0"/>
        <v>7612.333333333333</v>
      </c>
      <c r="F11" s="11">
        <f>SUM(B$3:B11)</f>
        <v>182080</v>
      </c>
      <c r="G11" s="19">
        <f>IFERROR(SUMPRODUCT(('📋 Daily Log'!$B$5:$B$5000=A11)*('📋 Daily Log'!$M$5:$M$5000))/SUMPRODUCT(('📋 Daily Log'!$B$5:$B$5000=A11)*('📋 Daily Log'!$J$5:$J$5000)),0)</f>
        <v>0.11160714285714286</v>
      </c>
    </row>
    <row r="12" spans="1:7" ht="17" customHeight="1" x14ac:dyDescent="0.2">
      <c r="A12" s="68">
        <v>46122</v>
      </c>
      <c r="B12" s="4">
        <f>SUMPRODUCT(('📋 Daily Log'!$B$5:$B$5000=A12)*('📋 Daily Log'!$I$5:$I$5000))</f>
        <v>10826</v>
      </c>
      <c r="C12" s="20">
        <f>SUMPRODUCT(('📋 Daily Log'!$B$5:$B$5000=A12)*1)</f>
        <v>1</v>
      </c>
      <c r="D12" s="5">
        <f>SUMPRODUCT(('📋 Daily Log'!$B$5:$B$5000=A12)*('📋 Daily Log'!$M$5:$M$5000))</f>
        <v>0</v>
      </c>
      <c r="E12" s="21">
        <f t="shared" si="0"/>
        <v>10826</v>
      </c>
      <c r="F12" s="4">
        <f>SUM(B$3:B12)</f>
        <v>192906</v>
      </c>
      <c r="G12" s="22">
        <f>IFERROR(SUMPRODUCT(('📋 Daily Log'!$B$5:$B$5000=A12)*('📋 Daily Log'!$M$5:$M$5000))/SUMPRODUCT(('📋 Daily Log'!$B$5:$B$5000=A12)*('📋 Daily Log'!$J$5:$J$5000)),0)</f>
        <v>0</v>
      </c>
    </row>
    <row r="13" spans="1:7" ht="17" customHeight="1" x14ac:dyDescent="0.2">
      <c r="A13" s="67">
        <v>46123</v>
      </c>
      <c r="B13" s="11">
        <f>SUMPRODUCT(('📋 Daily Log'!$B$5:$B$5000=A13)*('📋 Daily Log'!$I$5:$I$5000))</f>
        <v>24771</v>
      </c>
      <c r="C13" s="17">
        <f>SUMPRODUCT(('📋 Daily Log'!$B$5:$B$5000=A13)*1)</f>
        <v>2</v>
      </c>
      <c r="D13" s="12">
        <f>SUMPRODUCT(('📋 Daily Log'!$B$5:$B$5000=A13)*('📋 Daily Log'!$M$5:$M$5000))</f>
        <v>0</v>
      </c>
      <c r="E13" s="18">
        <f t="shared" si="0"/>
        <v>12385.5</v>
      </c>
      <c r="F13" s="11">
        <f>SUM(B$3:B13)</f>
        <v>217677</v>
      </c>
      <c r="G13" s="19">
        <f>IFERROR(SUMPRODUCT(('📋 Daily Log'!$B$5:$B$5000=A13)*('📋 Daily Log'!$M$5:$M$5000))/SUMPRODUCT(('📋 Daily Log'!$B$5:$B$5000=A13)*('📋 Daily Log'!$J$5:$J$5000)),0)</f>
        <v>0</v>
      </c>
    </row>
    <row r="14" spans="1:7" ht="17" customHeight="1" x14ac:dyDescent="0.2">
      <c r="A14" s="68">
        <v>46124</v>
      </c>
      <c r="B14" s="4">
        <f>SUMPRODUCT(('📋 Daily Log'!$B$5:$B$5000=A14)*('📋 Daily Log'!$I$5:$I$5000))</f>
        <v>22736</v>
      </c>
      <c r="C14" s="20">
        <f>SUMPRODUCT(('📋 Daily Log'!$B$5:$B$5000=A14)*1)</f>
        <v>3</v>
      </c>
      <c r="D14" s="5">
        <f>SUMPRODUCT(('📋 Daily Log'!$B$5:$B$5000=A14)*('📋 Daily Log'!$M$5:$M$5000))</f>
        <v>5.8000000000000007</v>
      </c>
      <c r="E14" s="21">
        <f t="shared" si="0"/>
        <v>7578.666666666667</v>
      </c>
      <c r="F14" s="4">
        <f>SUM(B$3:B14)</f>
        <v>240413</v>
      </c>
      <c r="G14" s="22">
        <f>IFERROR(SUMPRODUCT(('📋 Daily Log'!$B$5:$B$5000=A14)*('📋 Daily Log'!$M$5:$M$5000))/SUMPRODUCT(('📋 Daily Log'!$B$5:$B$5000=A14)*('📋 Daily Log'!$J$5:$J$5000)),0)</f>
        <v>0.15303430079155675</v>
      </c>
    </row>
    <row r="15" spans="1:7" ht="17" customHeight="1" x14ac:dyDescent="0.2">
      <c r="A15" s="67">
        <v>46125</v>
      </c>
      <c r="B15" s="11">
        <f>SUMPRODUCT(('📋 Daily Log'!$B$5:$B$5000=A15)*('📋 Daily Log'!$I$5:$I$5000))</f>
        <v>20330</v>
      </c>
      <c r="C15" s="17">
        <f>SUMPRODUCT(('📋 Daily Log'!$B$5:$B$5000=A15)*1)</f>
        <v>2</v>
      </c>
      <c r="D15" s="12">
        <f>SUMPRODUCT(('📋 Daily Log'!$B$5:$B$5000=A15)*('📋 Daily Log'!$M$5:$M$5000))</f>
        <v>3.5</v>
      </c>
      <c r="E15" s="18">
        <f t="shared" si="0"/>
        <v>10165</v>
      </c>
      <c r="F15" s="11">
        <f>SUM(B$3:B15)</f>
        <v>260743</v>
      </c>
      <c r="G15" s="19">
        <f>IFERROR(SUMPRODUCT(('📋 Daily Log'!$B$5:$B$5000=A15)*('📋 Daily Log'!$M$5:$M$5000))/SUMPRODUCT(('📋 Daily Log'!$B$5:$B$5000=A15)*('📋 Daily Log'!$J$5:$J$5000)),0)</f>
        <v>7.7092511013215861E-2</v>
      </c>
    </row>
    <row r="16" spans="1:7" ht="17" customHeight="1" x14ac:dyDescent="0.2">
      <c r="A16" s="68">
        <v>46126</v>
      </c>
      <c r="B16" s="4">
        <f>SUMPRODUCT(('📋 Daily Log'!$B$5:$B$5000=A16)*('📋 Daily Log'!$I$5:$I$5000))</f>
        <v>34224</v>
      </c>
      <c r="C16" s="20">
        <f>SUMPRODUCT(('📋 Daily Log'!$B$5:$B$5000=A16)*1)</f>
        <v>3</v>
      </c>
      <c r="D16" s="5">
        <f>SUMPRODUCT(('📋 Daily Log'!$B$5:$B$5000=A16)*('📋 Daily Log'!$M$5:$M$5000))</f>
        <v>0.4</v>
      </c>
      <c r="E16" s="21">
        <f t="shared" si="0"/>
        <v>11408</v>
      </c>
      <c r="F16" s="4">
        <f>SUM(B$3:B16)</f>
        <v>294967</v>
      </c>
      <c r="G16" s="22">
        <f>IFERROR(SUMPRODUCT(('📋 Daily Log'!$B$5:$B$5000=A16)*('📋 Daily Log'!$M$5:$M$5000))/SUMPRODUCT(('📋 Daily Log'!$B$5:$B$5000=A16)*('📋 Daily Log'!$J$5:$J$5000)),0)</f>
        <v>1.0416666666666668E-2</v>
      </c>
    </row>
    <row r="17" spans="1:7" ht="17" customHeight="1" x14ac:dyDescent="0.2">
      <c r="A17" s="67">
        <v>46127</v>
      </c>
      <c r="B17" s="11">
        <f>SUMPRODUCT(('📋 Daily Log'!$B$5:$B$5000=A17)*('📋 Daily Log'!$I$5:$I$5000))</f>
        <v>3116</v>
      </c>
      <c r="C17" s="17">
        <f>SUMPRODUCT(('📋 Daily Log'!$B$5:$B$5000=A17)*1)</f>
        <v>1</v>
      </c>
      <c r="D17" s="12">
        <f>SUMPRODUCT(('📋 Daily Log'!$B$5:$B$5000=A17)*('📋 Daily Log'!$M$5:$M$5000))</f>
        <v>3.6</v>
      </c>
      <c r="E17" s="18">
        <f t="shared" si="0"/>
        <v>3116</v>
      </c>
      <c r="F17" s="11">
        <f>SUM(B$3:B17)</f>
        <v>298083</v>
      </c>
      <c r="G17" s="19">
        <f>IFERROR(SUMPRODUCT(('📋 Daily Log'!$B$5:$B$5000=A17)*('📋 Daily Log'!$M$5:$M$5000))/SUMPRODUCT(('📋 Daily Log'!$B$5:$B$5000=A17)*('📋 Daily Log'!$J$5:$J$5000)),0)</f>
        <v>0.65454545454545454</v>
      </c>
    </row>
    <row r="18" spans="1:7" ht="17" customHeight="1" x14ac:dyDescent="0.2">
      <c r="A18" s="68">
        <v>46128</v>
      </c>
      <c r="B18" s="4">
        <f>SUMPRODUCT(('📋 Daily Log'!$B$5:$B$5000=A18)*('📋 Daily Log'!$I$5:$I$5000))</f>
        <v>27587</v>
      </c>
      <c r="C18" s="20">
        <f>SUMPRODUCT(('📋 Daily Log'!$B$5:$B$5000=A18)*1)</f>
        <v>3</v>
      </c>
      <c r="D18" s="5">
        <f>SUMPRODUCT(('📋 Daily Log'!$B$5:$B$5000=A18)*('📋 Daily Log'!$M$5:$M$5000))</f>
        <v>4.3</v>
      </c>
      <c r="E18" s="21">
        <f t="shared" si="0"/>
        <v>9195.6666666666661</v>
      </c>
      <c r="F18" s="4">
        <f>SUM(B$3:B18)</f>
        <v>325670</v>
      </c>
      <c r="G18" s="22">
        <f>IFERROR(SUMPRODUCT(('📋 Daily Log'!$B$5:$B$5000=A18)*('📋 Daily Log'!$M$5:$M$5000))/SUMPRODUCT(('📋 Daily Log'!$B$5:$B$5000=A18)*('📋 Daily Log'!$J$5:$J$5000)),0)</f>
        <v>7.0840197693574955E-2</v>
      </c>
    </row>
    <row r="19" spans="1:7" ht="17" customHeight="1" x14ac:dyDescent="0.2">
      <c r="A19" s="67">
        <v>46129</v>
      </c>
      <c r="B19" s="11">
        <f>SUMPRODUCT(('📋 Daily Log'!$B$5:$B$5000=A19)*('📋 Daily Log'!$I$5:$I$5000))</f>
        <v>5675</v>
      </c>
      <c r="C19" s="17">
        <f>SUMPRODUCT(('📋 Daily Log'!$B$5:$B$5000=A19)*1)</f>
        <v>1</v>
      </c>
      <c r="D19" s="12">
        <f>SUMPRODUCT(('📋 Daily Log'!$B$5:$B$5000=A19)*('📋 Daily Log'!$M$5:$M$5000))</f>
        <v>0</v>
      </c>
      <c r="E19" s="18">
        <f t="shared" si="0"/>
        <v>5675</v>
      </c>
      <c r="F19" s="11">
        <f>SUM(B$3:B19)</f>
        <v>331345</v>
      </c>
      <c r="G19" s="19">
        <f>IFERROR(SUMPRODUCT(('📋 Daily Log'!$B$5:$B$5000=A19)*('📋 Daily Log'!$M$5:$M$5000))/SUMPRODUCT(('📋 Daily Log'!$B$5:$B$5000=A19)*('📋 Daily Log'!$J$5:$J$5000)),0)</f>
        <v>0</v>
      </c>
    </row>
    <row r="20" spans="1:7" ht="17" customHeight="1" x14ac:dyDescent="0.2">
      <c r="A20" s="68">
        <v>46130</v>
      </c>
      <c r="B20" s="4">
        <f>SUMPRODUCT(('📋 Daily Log'!$B$5:$B$5000=A20)*('📋 Daily Log'!$I$5:$I$5000))</f>
        <v>15211</v>
      </c>
      <c r="C20" s="20">
        <f>SUMPRODUCT(('📋 Daily Log'!$B$5:$B$5000=A20)*1)</f>
        <v>2</v>
      </c>
      <c r="D20" s="5">
        <f>SUMPRODUCT(('📋 Daily Log'!$B$5:$B$5000=A20)*('📋 Daily Log'!$M$5:$M$5000))</f>
        <v>1</v>
      </c>
      <c r="E20" s="21">
        <f t="shared" si="0"/>
        <v>7605.5</v>
      </c>
      <c r="F20" s="4">
        <f>SUM(B$3:B20)</f>
        <v>346556</v>
      </c>
      <c r="G20" s="22">
        <f>IFERROR(SUMPRODUCT(('📋 Daily Log'!$B$5:$B$5000=A20)*('📋 Daily Log'!$M$5:$M$5000))/SUMPRODUCT(('📋 Daily Log'!$B$5:$B$5000=A20)*('📋 Daily Log'!$J$5:$J$5000)),0)</f>
        <v>3.5335689045936397E-2</v>
      </c>
    </row>
    <row r="21" spans="1:7" ht="17" customHeight="1" x14ac:dyDescent="0.2">
      <c r="A21" s="67">
        <v>46131</v>
      </c>
      <c r="B21" s="11">
        <f>SUMPRODUCT(('📋 Daily Log'!$B$5:$B$5000=A21)*('📋 Daily Log'!$I$5:$I$5000))</f>
        <v>11242</v>
      </c>
      <c r="C21" s="17">
        <f>SUMPRODUCT(('📋 Daily Log'!$B$5:$B$5000=A21)*1)</f>
        <v>1</v>
      </c>
      <c r="D21" s="12">
        <f>SUMPRODUCT(('📋 Daily Log'!$B$5:$B$5000=A21)*('📋 Daily Log'!$M$5:$M$5000))</f>
        <v>0.8</v>
      </c>
      <c r="E21" s="18">
        <f t="shared" si="0"/>
        <v>11242</v>
      </c>
      <c r="F21" s="11">
        <f>SUM(B$3:B21)</f>
        <v>357798</v>
      </c>
      <c r="G21" s="19">
        <f>IFERROR(SUMPRODUCT(('📋 Daily Log'!$B$5:$B$5000=A21)*('📋 Daily Log'!$M$5:$M$5000))/SUMPRODUCT(('📋 Daily Log'!$B$5:$B$5000=A21)*('📋 Daily Log'!$J$5:$J$5000)),0)</f>
        <v>3.5087719298245612E-2</v>
      </c>
    </row>
    <row r="22" spans="1:7" ht="17" customHeight="1" x14ac:dyDescent="0.2">
      <c r="A22" s="68">
        <v>46132</v>
      </c>
      <c r="B22" s="4">
        <f>SUMPRODUCT(('📋 Daily Log'!$B$5:$B$5000=A22)*('📋 Daily Log'!$I$5:$I$5000))</f>
        <v>25398</v>
      </c>
      <c r="C22" s="20">
        <f>SUMPRODUCT(('📋 Daily Log'!$B$5:$B$5000=A22)*1)</f>
        <v>3</v>
      </c>
      <c r="D22" s="5">
        <f>SUMPRODUCT(('📋 Daily Log'!$B$5:$B$5000=A22)*('📋 Daily Log'!$M$5:$M$5000))</f>
        <v>3.2</v>
      </c>
      <c r="E22" s="21">
        <f t="shared" si="0"/>
        <v>8466</v>
      </c>
      <c r="F22" s="4">
        <f>SUM(B$3:B22)</f>
        <v>383196</v>
      </c>
      <c r="G22" s="22">
        <f>IFERROR(SUMPRODUCT(('📋 Daily Log'!$B$5:$B$5000=A22)*('📋 Daily Log'!$M$5:$M$5000))/SUMPRODUCT(('📋 Daily Log'!$B$5:$B$5000=A22)*('📋 Daily Log'!$J$5:$J$5000)),0)</f>
        <v>8.0604534005037781E-2</v>
      </c>
    </row>
    <row r="23" spans="1:7" ht="17" customHeight="1" x14ac:dyDescent="0.2">
      <c r="A23" s="67">
        <v>46133</v>
      </c>
      <c r="B23" s="11">
        <f>SUMPRODUCT(('📋 Daily Log'!$B$5:$B$5000=A23)*('📋 Daily Log'!$I$5:$I$5000))</f>
        <v>31388</v>
      </c>
      <c r="C23" s="17">
        <f>SUMPRODUCT(('📋 Daily Log'!$B$5:$B$5000=A23)*1)</f>
        <v>3</v>
      </c>
      <c r="D23" s="12">
        <f>SUMPRODUCT(('📋 Daily Log'!$B$5:$B$5000=A23)*('📋 Daily Log'!$M$5:$M$5000))</f>
        <v>2.8</v>
      </c>
      <c r="E23" s="18">
        <f t="shared" si="0"/>
        <v>10462.666666666666</v>
      </c>
      <c r="F23" s="11">
        <f>SUM(B$3:B23)</f>
        <v>414584</v>
      </c>
      <c r="G23" s="19">
        <f>IFERROR(SUMPRODUCT(('📋 Daily Log'!$B$5:$B$5000=A23)*('📋 Daily Log'!$M$5:$M$5000))/SUMPRODUCT(('📋 Daily Log'!$B$5:$B$5000=A23)*('📋 Daily Log'!$J$5:$J$5000)),0)</f>
        <v>8.3582089552238795E-2</v>
      </c>
    </row>
    <row r="24" spans="1:7" ht="17" customHeight="1" x14ac:dyDescent="0.2">
      <c r="A24" s="68">
        <v>46134</v>
      </c>
      <c r="B24" s="4">
        <f>SUMPRODUCT(('📋 Daily Log'!$B$5:$B$5000=A24)*('📋 Daily Log'!$I$5:$I$5000))</f>
        <v>14855</v>
      </c>
      <c r="C24" s="20">
        <f>SUMPRODUCT(('📋 Daily Log'!$B$5:$B$5000=A24)*1)</f>
        <v>1</v>
      </c>
      <c r="D24" s="5">
        <f>SUMPRODUCT(('📋 Daily Log'!$B$5:$B$5000=A24)*('📋 Daily Log'!$M$5:$M$5000))</f>
        <v>3.6</v>
      </c>
      <c r="E24" s="21">
        <f t="shared" si="0"/>
        <v>14855</v>
      </c>
      <c r="F24" s="4">
        <f>SUM(B$3:B24)</f>
        <v>429439</v>
      </c>
      <c r="G24" s="22">
        <f>IFERROR(SUMPRODUCT(('📋 Daily Log'!$B$5:$B$5000=A24)*('📋 Daily Log'!$M$5:$M$5000))/SUMPRODUCT(('📋 Daily Log'!$B$5:$B$5000=A24)*('📋 Daily Log'!$J$5:$J$5000)),0)</f>
        <v>0.22641509433962265</v>
      </c>
    </row>
    <row r="25" spans="1:7" ht="17" customHeight="1" x14ac:dyDescent="0.2">
      <c r="A25" s="67">
        <v>46135</v>
      </c>
      <c r="B25" s="11">
        <f>SUMPRODUCT(('📋 Daily Log'!$B$5:$B$5000=A25)*('📋 Daily Log'!$I$5:$I$5000))</f>
        <v>19815</v>
      </c>
      <c r="C25" s="17">
        <f>SUMPRODUCT(('📋 Daily Log'!$B$5:$B$5000=A25)*1)</f>
        <v>3</v>
      </c>
      <c r="D25" s="12">
        <f>SUMPRODUCT(('📋 Daily Log'!$B$5:$B$5000=A25)*('📋 Daily Log'!$M$5:$M$5000))</f>
        <v>3.4</v>
      </c>
      <c r="E25" s="18">
        <f t="shared" si="0"/>
        <v>6605</v>
      </c>
      <c r="F25" s="11">
        <f>SUM(B$3:B25)</f>
        <v>449254</v>
      </c>
      <c r="G25" s="19">
        <f>IFERROR(SUMPRODUCT(('📋 Daily Log'!$B$5:$B$5000=A25)*('📋 Daily Log'!$M$5:$M$5000))/SUMPRODUCT(('📋 Daily Log'!$B$5:$B$5000=A25)*('📋 Daily Log'!$J$5:$J$5000)),0)</f>
        <v>9.855072463768115E-2</v>
      </c>
    </row>
    <row r="26" spans="1:7" ht="17" customHeight="1" x14ac:dyDescent="0.2">
      <c r="A26" s="68">
        <v>46136</v>
      </c>
      <c r="B26" s="4">
        <f>SUMPRODUCT(('📋 Daily Log'!$B$5:$B$5000=A26)*('📋 Daily Log'!$I$5:$I$5000))</f>
        <v>23473</v>
      </c>
      <c r="C26" s="20">
        <f>SUMPRODUCT(('📋 Daily Log'!$B$5:$B$5000=A26)*1)</f>
        <v>3</v>
      </c>
      <c r="D26" s="5">
        <f>SUMPRODUCT(('📋 Daily Log'!$B$5:$B$5000=A26)*('📋 Daily Log'!$M$5:$M$5000))</f>
        <v>5.8</v>
      </c>
      <c r="E26" s="21">
        <f t="shared" si="0"/>
        <v>7824.333333333333</v>
      </c>
      <c r="F26" s="4">
        <f>SUM(B$3:B26)</f>
        <v>472727</v>
      </c>
      <c r="G26" s="22">
        <f>IFERROR(SUMPRODUCT(('📋 Daily Log'!$B$5:$B$5000=A26)*('📋 Daily Log'!$M$5:$M$5000))/SUMPRODUCT(('📋 Daily Log'!$B$5:$B$5000=A26)*('📋 Daily Log'!$J$5:$J$5000)),0)</f>
        <v>0.15104166666666666</v>
      </c>
    </row>
    <row r="27" spans="1:7" ht="17" customHeight="1" x14ac:dyDescent="0.2">
      <c r="A27" s="67">
        <v>46137</v>
      </c>
      <c r="B27" s="11">
        <f>SUMPRODUCT(('📋 Daily Log'!$B$5:$B$5000=A27)*('📋 Daily Log'!$I$5:$I$5000))</f>
        <v>7549</v>
      </c>
      <c r="C27" s="17">
        <f>SUMPRODUCT(('📋 Daily Log'!$B$5:$B$5000=A27)*1)</f>
        <v>1</v>
      </c>
      <c r="D27" s="12">
        <f>SUMPRODUCT(('📋 Daily Log'!$B$5:$B$5000=A27)*('📋 Daily Log'!$M$5:$M$5000))</f>
        <v>0</v>
      </c>
      <c r="E27" s="18">
        <f t="shared" si="0"/>
        <v>7549</v>
      </c>
      <c r="F27" s="11">
        <f>SUM(B$3:B27)</f>
        <v>480276</v>
      </c>
      <c r="G27" s="19">
        <f>IFERROR(SUMPRODUCT(('📋 Daily Log'!$B$5:$B$5000=A27)*('📋 Daily Log'!$M$5:$M$5000))/SUMPRODUCT(('📋 Daily Log'!$B$5:$B$5000=A27)*('📋 Daily Log'!$J$5:$J$5000)),0)</f>
        <v>0</v>
      </c>
    </row>
    <row r="28" spans="1:7" ht="17" customHeight="1" x14ac:dyDescent="0.2">
      <c r="A28" s="68">
        <v>46138</v>
      </c>
      <c r="B28" s="4">
        <f>SUMPRODUCT(('📋 Daily Log'!$B$5:$B$5000=A28)*('📋 Daily Log'!$I$5:$I$5000))</f>
        <v>17851</v>
      </c>
      <c r="C28" s="20">
        <f>SUMPRODUCT(('📋 Daily Log'!$B$5:$B$5000=A28)*1)</f>
        <v>2</v>
      </c>
      <c r="D28" s="5">
        <f>SUMPRODUCT(('📋 Daily Log'!$B$5:$B$5000=A28)*('📋 Daily Log'!$M$5:$M$5000))</f>
        <v>0.9</v>
      </c>
      <c r="E28" s="21">
        <f t="shared" si="0"/>
        <v>8925.5</v>
      </c>
      <c r="F28" s="4">
        <f>SUM(B$3:B28)</f>
        <v>498127</v>
      </c>
      <c r="G28" s="22">
        <f>IFERROR(SUMPRODUCT(('📋 Daily Log'!$B$5:$B$5000=A28)*('📋 Daily Log'!$M$5:$M$5000))/SUMPRODUCT(('📋 Daily Log'!$B$5:$B$5000=A28)*('📋 Daily Log'!$J$5:$J$5000)),0)</f>
        <v>4.8648648648648651E-2</v>
      </c>
    </row>
    <row r="29" spans="1:7" ht="17" customHeight="1" x14ac:dyDescent="0.2">
      <c r="A29" s="67">
        <v>46139</v>
      </c>
      <c r="B29" s="11">
        <f>SUMPRODUCT(('📋 Daily Log'!$B$5:$B$5000=A29)*('📋 Daily Log'!$I$5:$I$5000))</f>
        <v>28863</v>
      </c>
      <c r="C29" s="17">
        <f>SUMPRODUCT(('📋 Daily Log'!$B$5:$B$5000=A29)*1)</f>
        <v>2</v>
      </c>
      <c r="D29" s="12">
        <f>SUMPRODUCT(('📋 Daily Log'!$B$5:$B$5000=A29)*('📋 Daily Log'!$M$5:$M$5000))</f>
        <v>4</v>
      </c>
      <c r="E29" s="18">
        <f t="shared" si="0"/>
        <v>14431.5</v>
      </c>
      <c r="F29" s="11">
        <f>SUM(B$3:B29)</f>
        <v>526990</v>
      </c>
      <c r="G29" s="19">
        <f>IFERROR(SUMPRODUCT(('📋 Daily Log'!$B$5:$B$5000=A29)*('📋 Daily Log'!$M$5:$M$5000))/SUMPRODUCT(('📋 Daily Log'!$B$5:$B$5000=A29)*('📋 Daily Log'!$J$5:$J$5000)),0)</f>
        <v>0.15151515151515152</v>
      </c>
    </row>
    <row r="30" spans="1:7" ht="17" customHeight="1" x14ac:dyDescent="0.2">
      <c r="A30" s="68">
        <v>46140</v>
      </c>
      <c r="B30" s="4">
        <f>SUMPRODUCT(('📋 Daily Log'!$B$5:$B$5000=A30)*('📋 Daily Log'!$I$5:$I$5000))</f>
        <v>15368</v>
      </c>
      <c r="C30" s="20">
        <f>SUMPRODUCT(('📋 Daily Log'!$B$5:$B$5000=A30)*1)</f>
        <v>2</v>
      </c>
      <c r="D30" s="5">
        <f>SUMPRODUCT(('📋 Daily Log'!$B$5:$B$5000=A30)*('📋 Daily Log'!$M$5:$M$5000))</f>
        <v>1.8</v>
      </c>
      <c r="E30" s="21">
        <f t="shared" si="0"/>
        <v>7684</v>
      </c>
      <c r="F30" s="4">
        <f>SUM(B$3:B30)</f>
        <v>542358</v>
      </c>
      <c r="G30" s="22">
        <f>IFERROR(SUMPRODUCT(('📋 Daily Log'!$B$5:$B$5000=A30)*('📋 Daily Log'!$M$5:$M$5000))/SUMPRODUCT(('📋 Daily Log'!$B$5:$B$5000=A30)*('📋 Daily Log'!$J$5:$J$5000)),0)</f>
        <v>7.5630252100840345E-2</v>
      </c>
    </row>
    <row r="31" spans="1:7" ht="17" customHeight="1" x14ac:dyDescent="0.2">
      <c r="A31" s="67">
        <v>46141</v>
      </c>
      <c r="B31" s="11">
        <f>SUMPRODUCT(('📋 Daily Log'!$B$5:$B$5000=A31)*('📋 Daily Log'!$I$5:$I$5000))</f>
        <v>25952</v>
      </c>
      <c r="C31" s="17">
        <f>SUMPRODUCT(('📋 Daily Log'!$B$5:$B$5000=A31)*1)</f>
        <v>3</v>
      </c>
      <c r="D31" s="12">
        <f>SUMPRODUCT(('📋 Daily Log'!$B$5:$B$5000=A31)*('📋 Daily Log'!$M$5:$M$5000))</f>
        <v>3.5</v>
      </c>
      <c r="E31" s="18">
        <f t="shared" si="0"/>
        <v>8650.6666666666661</v>
      </c>
      <c r="F31" s="11">
        <f>SUM(B$3:B31)</f>
        <v>568310</v>
      </c>
      <c r="G31" s="19">
        <f>IFERROR(SUMPRODUCT(('📋 Daily Log'!$B$5:$B$5000=A31)*('📋 Daily Log'!$M$5:$M$5000))/SUMPRODUCT(('📋 Daily Log'!$B$5:$B$5000=A31)*('📋 Daily Log'!$J$5:$J$5000)),0)</f>
        <v>7.4309978768577492E-2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📋 Daily Log</vt:lpstr>
      <vt:lpstr>📊 KPI Summary</vt:lpstr>
      <vt:lpstr>📊 Daily Dashboard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Aboyonis</cp:lastModifiedBy>
  <dcterms:created xsi:type="dcterms:W3CDTF">2026-04-30T16:10:05Z</dcterms:created>
  <dcterms:modified xsi:type="dcterms:W3CDTF">2026-04-30T16:31:44Z</dcterms:modified>
</cp:coreProperties>
</file>